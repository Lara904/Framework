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style1.xml" ContentType="application/vnd.ms-office.chartstyle+xml"/>
  <Override PartName="/xl/charts/chart1.xml" ContentType="application/vnd.openxmlformats-officedocument.drawingml.chart+xml"/>
  <Override PartName="/xl/worksheets/sheet5.xml" ContentType="application/vnd.openxmlformats-officedocument.spreadsheetml.worksheet+xml"/>
  <Override PartName="/xl/charts/colors1.xml" ContentType="application/vnd.ms-office.chartcolorstyle+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trlProps/ctrlProp4.xml" ContentType="application/vnd.ms-excel.controlproperties+xml"/>
  <Override PartName="/xl/ctrlProps/ctrlProp6.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P758487\$MyData\System Design\5 - Non-Functional Requirements\NFR Repository\"/>
    </mc:Choice>
  </mc:AlternateContent>
  <xr:revisionPtr revIDLastSave="0" documentId="13_ncr:1_{602A5C5D-C105-4BBD-B1F7-C185D73DF7B9}" xr6:coauthVersionLast="47" xr6:coauthVersionMax="47" xr10:uidLastSave="{00000000-0000-0000-0000-000000000000}"/>
  <bookViews>
    <workbookView xWindow="-46920" yWindow="-120" windowWidth="29040" windowHeight="15720" xr2:uid="{02972758-3AED-472C-96B5-D5504881B5EE}"/>
  </bookViews>
  <sheets>
    <sheet name="Guide" sheetId="2" r:id="rId1"/>
    <sheet name="Synthesis" sheetId="3" r:id="rId2"/>
    <sheet name="NFR repository" sheetId="1" r:id="rId3"/>
    <sheet name="Params" sheetId="5" state="hidden" r:id="rId4"/>
    <sheet name="Calc" sheetId="8" state="hidden" r:id="rId5"/>
  </sheets>
  <definedNames>
    <definedName name="_xlnm._FilterDatabase" localSheetId="2" hidden="1">'NFR repository'!$B$3:$AQ$184</definedName>
    <definedName name="_xlnm._FilterDatabase" localSheetId="1" hidden="1">Synthesis!$H$3:$Z$33</definedName>
    <definedName name="Data_privacy">Params!$H$3:$H$4</definedName>
    <definedName name="DP_Risk_Level">Params!$B$17:$B$22</definedName>
    <definedName name="MR_Status">Params!$B$3:$B$8</definedName>
    <definedName name="Referential_status">Params!$C$3:$C$6</definedName>
    <definedName name="RTO">Params!$F$3:$F$7</definedName>
    <definedName name="Service_level">Params!$G$3:$G$5</definedName>
    <definedName name="SR_Status">Params!$D$3:$D$9</definedName>
    <definedName name="Yes_No">Params!$I$3:$I$4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59" i="1" l="1"/>
  <c r="BD159" i="1"/>
  <c r="BC159" i="1"/>
  <c r="BB159" i="1"/>
  <c r="BA159" i="1"/>
  <c r="AZ159" i="1"/>
  <c r="AY159" i="1"/>
  <c r="AX159" i="1"/>
  <c r="AW159" i="1"/>
  <c r="BE158" i="1"/>
  <c r="BD158" i="1"/>
  <c r="BC158" i="1"/>
  <c r="BB158" i="1"/>
  <c r="BA158" i="1"/>
  <c r="AZ158" i="1"/>
  <c r="AY158" i="1"/>
  <c r="AX158" i="1"/>
  <c r="AW158" i="1"/>
  <c r="BE134" i="1"/>
  <c r="BD134" i="1"/>
  <c r="BC134" i="1"/>
  <c r="BB134" i="1"/>
  <c r="BA134" i="1"/>
  <c r="AZ134" i="1"/>
  <c r="AY134" i="1"/>
  <c r="AX134" i="1"/>
  <c r="AW134" i="1"/>
  <c r="BE25" i="1"/>
  <c r="BD25" i="1"/>
  <c r="BC25" i="1"/>
  <c r="BB25" i="1"/>
  <c r="BA25" i="1"/>
  <c r="AZ25" i="1"/>
  <c r="AY25" i="1"/>
  <c r="AX25" i="1"/>
  <c r="AW25" i="1"/>
  <c r="BE24" i="1" l="1"/>
  <c r="BD24" i="1"/>
  <c r="BC24" i="1"/>
  <c r="BB24" i="1"/>
  <c r="BA24" i="1"/>
  <c r="AZ24" i="1"/>
  <c r="AY24" i="1"/>
  <c r="AX24" i="1"/>
  <c r="AW24" i="1"/>
  <c r="BE178" i="1"/>
  <c r="BE177" i="1"/>
  <c r="BE176" i="1"/>
  <c r="BE175" i="1"/>
  <c r="BE174" i="1"/>
  <c r="BE173" i="1"/>
  <c r="BE172" i="1"/>
  <c r="BE171" i="1"/>
  <c r="BE170" i="1"/>
  <c r="BE169" i="1"/>
  <c r="BE168" i="1"/>
  <c r="BE167" i="1"/>
  <c r="BE166" i="1"/>
  <c r="BE165" i="1"/>
  <c r="BE164" i="1"/>
  <c r="BE163" i="1"/>
  <c r="BE162" i="1"/>
  <c r="BE161" i="1"/>
  <c r="BE160" i="1"/>
  <c r="BE157" i="1"/>
  <c r="BE156" i="1"/>
  <c r="BE155" i="1"/>
  <c r="BE154" i="1"/>
  <c r="BE153" i="1"/>
  <c r="BE152" i="1"/>
  <c r="BE151" i="1"/>
  <c r="BE150" i="1"/>
  <c r="BE149" i="1"/>
  <c r="BE148" i="1"/>
  <c r="BE147" i="1"/>
  <c r="BE146" i="1"/>
  <c r="BE145" i="1"/>
  <c r="BE144" i="1"/>
  <c r="BE143" i="1"/>
  <c r="BE142" i="1"/>
  <c r="BE141" i="1"/>
  <c r="BE140" i="1"/>
  <c r="BE139" i="1"/>
  <c r="BE138" i="1"/>
  <c r="BE137" i="1"/>
  <c r="BE136" i="1"/>
  <c r="BE135" i="1"/>
  <c r="BE133" i="1"/>
  <c r="BE132" i="1"/>
  <c r="BE131" i="1"/>
  <c r="BE130" i="1"/>
  <c r="BE129" i="1"/>
  <c r="BE128" i="1"/>
  <c r="BE127" i="1"/>
  <c r="BE126" i="1"/>
  <c r="BE125" i="1"/>
  <c r="BE124" i="1"/>
  <c r="BE123" i="1"/>
  <c r="BE122" i="1"/>
  <c r="BE121" i="1"/>
  <c r="BE120" i="1"/>
  <c r="BE119" i="1"/>
  <c r="BE118" i="1"/>
  <c r="BE117" i="1"/>
  <c r="BE116" i="1"/>
  <c r="BE115" i="1"/>
  <c r="BE114" i="1"/>
  <c r="BE113" i="1"/>
  <c r="BE112" i="1"/>
  <c r="BE111" i="1"/>
  <c r="BE110" i="1"/>
  <c r="BE109" i="1"/>
  <c r="BE108" i="1"/>
  <c r="BE107" i="1"/>
  <c r="BE106" i="1"/>
  <c r="BE105" i="1"/>
  <c r="BE104" i="1"/>
  <c r="BE103" i="1"/>
  <c r="BE102" i="1"/>
  <c r="BE101" i="1"/>
  <c r="BE100" i="1"/>
  <c r="BE99" i="1"/>
  <c r="BE98" i="1"/>
  <c r="BE97" i="1"/>
  <c r="BE96" i="1"/>
  <c r="BE95" i="1"/>
  <c r="BE94" i="1"/>
  <c r="BE93" i="1"/>
  <c r="BE92" i="1"/>
  <c r="BE91" i="1"/>
  <c r="BE90" i="1"/>
  <c r="BE89" i="1"/>
  <c r="BE88" i="1"/>
  <c r="BE87" i="1"/>
  <c r="BE86" i="1"/>
  <c r="BE85" i="1"/>
  <c r="BE84" i="1"/>
  <c r="BE83" i="1"/>
  <c r="BE82" i="1"/>
  <c r="BE81" i="1"/>
  <c r="BE80" i="1"/>
  <c r="BE79" i="1"/>
  <c r="BE78" i="1"/>
  <c r="BE77" i="1"/>
  <c r="BE76" i="1"/>
  <c r="BE75" i="1"/>
  <c r="BE74" i="1"/>
  <c r="BE73" i="1"/>
  <c r="BE72" i="1"/>
  <c r="BE71" i="1"/>
  <c r="BE70" i="1"/>
  <c r="BE69" i="1"/>
  <c r="BE68" i="1"/>
  <c r="BE67" i="1"/>
  <c r="BE66" i="1"/>
  <c r="BE65" i="1"/>
  <c r="BE64" i="1"/>
  <c r="BE63" i="1"/>
  <c r="BE62" i="1"/>
  <c r="BE61" i="1"/>
  <c r="BE60" i="1"/>
  <c r="BE59" i="1"/>
  <c r="BE58" i="1"/>
  <c r="BE57" i="1"/>
  <c r="BE56" i="1"/>
  <c r="BE55" i="1"/>
  <c r="BE54" i="1"/>
  <c r="BE53" i="1"/>
  <c r="BE52" i="1"/>
  <c r="BE51" i="1"/>
  <c r="BE50" i="1"/>
  <c r="BE49" i="1"/>
  <c r="BE48" i="1"/>
  <c r="BE47" i="1"/>
  <c r="BE46" i="1"/>
  <c r="BE45" i="1"/>
  <c r="BE44" i="1"/>
  <c r="BE43" i="1"/>
  <c r="BE42" i="1"/>
  <c r="BE41" i="1"/>
  <c r="BE40" i="1"/>
  <c r="BE39" i="1"/>
  <c r="BE38" i="1"/>
  <c r="BE37" i="1"/>
  <c r="BE36" i="1"/>
  <c r="BE35" i="1"/>
  <c r="BE34" i="1"/>
  <c r="BE33" i="1"/>
  <c r="BE32" i="1"/>
  <c r="BE31" i="1"/>
  <c r="BE30" i="1"/>
  <c r="BE29" i="1"/>
  <c r="BE28" i="1"/>
  <c r="BE27" i="1"/>
  <c r="BE26" i="1"/>
  <c r="BE23" i="1"/>
  <c r="BE22" i="1"/>
  <c r="BE21" i="1"/>
  <c r="BE20" i="1"/>
  <c r="BE19" i="1"/>
  <c r="BE18" i="1"/>
  <c r="BE17" i="1"/>
  <c r="BE16" i="1"/>
  <c r="BE15" i="1"/>
  <c r="BE14" i="1"/>
  <c r="BE13" i="1"/>
  <c r="BE12" i="1"/>
  <c r="BE11" i="1"/>
  <c r="BE10" i="1"/>
  <c r="BE9" i="1"/>
  <c r="BE8" i="1"/>
  <c r="BE7" i="1"/>
  <c r="BE6" i="1"/>
  <c r="BE5" i="1"/>
  <c r="BE4" i="1"/>
  <c r="BE3" i="1"/>
  <c r="AW21" i="1"/>
  <c r="AX21" i="1"/>
  <c r="AY21" i="1"/>
  <c r="AZ21" i="1"/>
  <c r="BA21" i="1"/>
  <c r="BB21" i="1"/>
  <c r="BC21" i="1"/>
  <c r="BD21" i="1"/>
  <c r="AW22" i="1"/>
  <c r="AX22" i="1"/>
  <c r="AY22" i="1"/>
  <c r="AZ22" i="1"/>
  <c r="BA22" i="1"/>
  <c r="BB22" i="1"/>
  <c r="BC22" i="1"/>
  <c r="BD22" i="1"/>
  <c r="AW23" i="1"/>
  <c r="AX23" i="1"/>
  <c r="AY23" i="1"/>
  <c r="AZ23" i="1"/>
  <c r="BA23" i="1"/>
  <c r="BB23" i="1"/>
  <c r="BC23" i="1"/>
  <c r="BD23" i="1"/>
  <c r="O7" i="8" l="1"/>
  <c r="O3" i="8"/>
  <c r="O5" i="8"/>
  <c r="O6" i="8"/>
  <c r="O4" i="8"/>
  <c r="BD166" i="1"/>
  <c r="BC166" i="1"/>
  <c r="BB166" i="1"/>
  <c r="BA166" i="1"/>
  <c r="AZ166" i="1"/>
  <c r="AY166" i="1"/>
  <c r="AX166" i="1"/>
  <c r="AW166" i="1"/>
  <c r="BD139" i="1"/>
  <c r="BC139" i="1"/>
  <c r="BB139" i="1"/>
  <c r="BA139" i="1"/>
  <c r="AZ139" i="1"/>
  <c r="AY139" i="1"/>
  <c r="AX139" i="1"/>
  <c r="AW139" i="1"/>
  <c r="AW149" i="1"/>
  <c r="AX149" i="1"/>
  <c r="AY149" i="1"/>
  <c r="AZ149" i="1"/>
  <c r="BA149" i="1"/>
  <c r="BB149" i="1"/>
  <c r="BC149" i="1"/>
  <c r="BD149" i="1"/>
  <c r="AW129" i="1"/>
  <c r="AX129" i="1"/>
  <c r="AY129" i="1"/>
  <c r="AZ129" i="1"/>
  <c r="BA129" i="1"/>
  <c r="BB129" i="1"/>
  <c r="BC129" i="1"/>
  <c r="BD129" i="1"/>
  <c r="AW130" i="1"/>
  <c r="AX130" i="1"/>
  <c r="AY130" i="1"/>
  <c r="AZ130" i="1"/>
  <c r="BA130" i="1"/>
  <c r="BB130" i="1"/>
  <c r="BC130" i="1"/>
  <c r="BD130" i="1"/>
  <c r="AW118" i="1"/>
  <c r="AX118" i="1"/>
  <c r="AY118" i="1"/>
  <c r="AZ118" i="1"/>
  <c r="BA118" i="1"/>
  <c r="BB118" i="1"/>
  <c r="BC118" i="1"/>
  <c r="BD118" i="1"/>
  <c r="BD165" i="1"/>
  <c r="BC165" i="1"/>
  <c r="BB165" i="1"/>
  <c r="BA165" i="1"/>
  <c r="AZ165" i="1"/>
  <c r="AY165" i="1"/>
  <c r="AX165" i="1"/>
  <c r="AW165" i="1"/>
  <c r="AX5" i="1"/>
  <c r="AX6" i="1"/>
  <c r="AX7" i="1"/>
  <c r="AX8" i="1"/>
  <c r="AX9" i="1"/>
  <c r="AX10" i="1"/>
  <c r="AX11" i="1"/>
  <c r="AX12" i="1"/>
  <c r="AX13" i="1"/>
  <c r="AX14" i="1"/>
  <c r="AX15" i="1"/>
  <c r="AX16" i="1"/>
  <c r="AX17" i="1"/>
  <c r="AX18" i="1"/>
  <c r="AX19" i="1"/>
  <c r="AX20" i="1"/>
  <c r="AX26" i="1"/>
  <c r="AX27" i="1"/>
  <c r="AX28" i="1"/>
  <c r="AX29" i="1"/>
  <c r="AX30" i="1"/>
  <c r="AX31" i="1"/>
  <c r="AX32" i="1"/>
  <c r="AX33" i="1"/>
  <c r="AX34" i="1"/>
  <c r="AX35" i="1"/>
  <c r="AX36" i="1"/>
  <c r="AX37" i="1"/>
  <c r="AX38" i="1"/>
  <c r="AX39" i="1"/>
  <c r="AX40" i="1"/>
  <c r="AX41" i="1"/>
  <c r="AX42" i="1"/>
  <c r="AX43" i="1"/>
  <c r="AX44" i="1"/>
  <c r="AX45" i="1"/>
  <c r="AX46" i="1"/>
  <c r="AX47" i="1"/>
  <c r="AX48" i="1"/>
  <c r="AX49" i="1"/>
  <c r="AX50" i="1"/>
  <c r="AX51" i="1"/>
  <c r="AX52" i="1"/>
  <c r="AX53" i="1"/>
  <c r="AX54" i="1"/>
  <c r="AX55" i="1"/>
  <c r="AX56" i="1"/>
  <c r="AX57" i="1"/>
  <c r="AX58" i="1"/>
  <c r="AX59" i="1"/>
  <c r="AX60" i="1"/>
  <c r="AX61" i="1"/>
  <c r="AX62" i="1"/>
  <c r="AX63" i="1"/>
  <c r="AX64" i="1"/>
  <c r="AX65" i="1"/>
  <c r="AX66" i="1"/>
  <c r="AX67" i="1"/>
  <c r="AX68" i="1"/>
  <c r="AX69" i="1"/>
  <c r="AX70" i="1"/>
  <c r="AX71" i="1"/>
  <c r="AX72" i="1"/>
  <c r="AX73" i="1"/>
  <c r="AX74" i="1"/>
  <c r="AX75" i="1"/>
  <c r="AX76" i="1"/>
  <c r="AX77" i="1"/>
  <c r="AX78" i="1"/>
  <c r="AX79" i="1"/>
  <c r="AX80" i="1"/>
  <c r="AX81" i="1"/>
  <c r="AX82" i="1"/>
  <c r="AX83" i="1"/>
  <c r="AX84" i="1"/>
  <c r="AX85" i="1"/>
  <c r="AX86" i="1"/>
  <c r="AX87" i="1"/>
  <c r="AX88" i="1"/>
  <c r="AX89" i="1"/>
  <c r="AX90" i="1"/>
  <c r="AX91" i="1"/>
  <c r="AX92" i="1"/>
  <c r="AX93" i="1"/>
  <c r="AX94" i="1"/>
  <c r="AX95" i="1"/>
  <c r="AX96" i="1"/>
  <c r="AX97" i="1"/>
  <c r="AX98" i="1"/>
  <c r="AX99" i="1"/>
  <c r="AX100" i="1"/>
  <c r="AX101" i="1"/>
  <c r="AX102" i="1"/>
  <c r="AX103" i="1"/>
  <c r="AX104" i="1"/>
  <c r="AX105" i="1"/>
  <c r="AX106" i="1"/>
  <c r="AX107" i="1"/>
  <c r="AX108" i="1"/>
  <c r="AX109" i="1"/>
  <c r="AX110" i="1"/>
  <c r="AX111" i="1"/>
  <c r="AX112" i="1"/>
  <c r="AX113" i="1"/>
  <c r="AX114" i="1"/>
  <c r="AX115" i="1"/>
  <c r="AX116" i="1"/>
  <c r="AX117" i="1"/>
  <c r="AX119" i="1"/>
  <c r="AX120" i="1"/>
  <c r="AX121" i="1"/>
  <c r="AX122" i="1"/>
  <c r="AX123" i="1"/>
  <c r="AX124" i="1"/>
  <c r="AX125" i="1"/>
  <c r="AX126" i="1"/>
  <c r="AX127" i="1"/>
  <c r="AX128" i="1"/>
  <c r="AX131" i="1"/>
  <c r="AX132" i="1"/>
  <c r="AX133" i="1"/>
  <c r="AX135" i="1"/>
  <c r="AX136" i="1"/>
  <c r="AX137" i="1"/>
  <c r="AX138" i="1"/>
  <c r="AX140" i="1"/>
  <c r="AX141" i="1"/>
  <c r="AX142" i="1"/>
  <c r="AX143" i="1"/>
  <c r="AX144" i="1"/>
  <c r="AX145" i="1"/>
  <c r="AX146" i="1"/>
  <c r="AX147" i="1"/>
  <c r="AX148" i="1"/>
  <c r="AX150" i="1"/>
  <c r="AX151" i="1"/>
  <c r="AX152" i="1"/>
  <c r="AX153" i="1"/>
  <c r="AX154" i="1"/>
  <c r="AX155" i="1"/>
  <c r="AX156" i="1"/>
  <c r="AX157" i="1"/>
  <c r="AX160" i="1"/>
  <c r="AX161" i="1"/>
  <c r="AX162" i="1"/>
  <c r="AX163" i="1"/>
  <c r="AX164" i="1"/>
  <c r="AX167" i="1"/>
  <c r="AX168" i="1"/>
  <c r="AX169" i="1"/>
  <c r="AX170" i="1"/>
  <c r="AX171" i="1"/>
  <c r="AX172" i="1"/>
  <c r="AX173" i="1"/>
  <c r="AX174" i="1"/>
  <c r="AX175" i="1"/>
  <c r="AX176" i="1"/>
  <c r="AX177" i="1"/>
  <c r="AX178" i="1"/>
  <c r="AX4" i="1"/>
  <c r="H3" i="8" l="1"/>
  <c r="BD101" i="1"/>
  <c r="BC101" i="1"/>
  <c r="BB101" i="1"/>
  <c r="BA101" i="1"/>
  <c r="AZ101" i="1"/>
  <c r="AY101" i="1"/>
  <c r="AW101" i="1"/>
  <c r="BD157" i="1" l="1"/>
  <c r="BC157" i="1"/>
  <c r="BB157" i="1"/>
  <c r="BA157" i="1"/>
  <c r="AZ157" i="1"/>
  <c r="AY157" i="1"/>
  <c r="AW157" i="1"/>
  <c r="AW133" i="1" l="1"/>
  <c r="AY133" i="1"/>
  <c r="AZ133" i="1"/>
  <c r="BA133" i="1"/>
  <c r="BB133" i="1"/>
  <c r="BC133" i="1"/>
  <c r="BD133" i="1"/>
  <c r="B7" i="8" l="1"/>
  <c r="B6" i="8"/>
  <c r="B5" i="8"/>
  <c r="B4" i="8"/>
  <c r="B3" i="8"/>
  <c r="Y19" i="3"/>
  <c r="X19" i="3"/>
  <c r="W19" i="3"/>
  <c r="V19" i="3"/>
  <c r="U19" i="3"/>
  <c r="C23" i="3" l="1"/>
  <c r="AW5" i="1" l="1"/>
  <c r="AY5" i="1"/>
  <c r="AZ5" i="1"/>
  <c r="BA5" i="1"/>
  <c r="BB5" i="1"/>
  <c r="BC5" i="1"/>
  <c r="BD5" i="1"/>
  <c r="AW6" i="1"/>
  <c r="AY6" i="1"/>
  <c r="AZ6" i="1"/>
  <c r="BA6" i="1"/>
  <c r="BB6" i="1"/>
  <c r="BC6" i="1"/>
  <c r="BD6" i="1"/>
  <c r="AW7" i="1"/>
  <c r="AY7" i="1"/>
  <c r="AZ7" i="1"/>
  <c r="BA7" i="1"/>
  <c r="BB7" i="1"/>
  <c r="BC7" i="1"/>
  <c r="BD7" i="1"/>
  <c r="AW8" i="1"/>
  <c r="AY8" i="1"/>
  <c r="AZ8" i="1"/>
  <c r="BA8" i="1"/>
  <c r="BB8" i="1"/>
  <c r="BC8" i="1"/>
  <c r="BD8" i="1"/>
  <c r="AW9" i="1"/>
  <c r="AY9" i="1"/>
  <c r="AZ9" i="1"/>
  <c r="BA9" i="1"/>
  <c r="BB9" i="1"/>
  <c r="BC9" i="1"/>
  <c r="BD9" i="1"/>
  <c r="AW10" i="1"/>
  <c r="AY10" i="1"/>
  <c r="AZ10" i="1"/>
  <c r="BA10" i="1"/>
  <c r="BB10" i="1"/>
  <c r="BC10" i="1"/>
  <c r="BD10" i="1"/>
  <c r="AW11" i="1"/>
  <c r="AY11" i="1"/>
  <c r="AZ11" i="1"/>
  <c r="BA11" i="1"/>
  <c r="BB11" i="1"/>
  <c r="BC11" i="1"/>
  <c r="BD11" i="1"/>
  <c r="AW12" i="1"/>
  <c r="AY12" i="1"/>
  <c r="AZ12" i="1"/>
  <c r="BA12" i="1"/>
  <c r="BB12" i="1"/>
  <c r="BC12" i="1"/>
  <c r="BD12" i="1"/>
  <c r="AW13" i="1"/>
  <c r="AY13" i="1"/>
  <c r="AZ13" i="1"/>
  <c r="BA13" i="1"/>
  <c r="BB13" i="1"/>
  <c r="BC13" i="1"/>
  <c r="BD13" i="1"/>
  <c r="AW14" i="1"/>
  <c r="AY14" i="1"/>
  <c r="AZ14" i="1"/>
  <c r="BA14" i="1"/>
  <c r="BB14" i="1"/>
  <c r="BC14" i="1"/>
  <c r="BD14" i="1"/>
  <c r="AW15" i="1"/>
  <c r="AY15" i="1"/>
  <c r="AZ15" i="1"/>
  <c r="BA15" i="1"/>
  <c r="BB15" i="1"/>
  <c r="BC15" i="1"/>
  <c r="BD15" i="1"/>
  <c r="AW16" i="1"/>
  <c r="AY16" i="1"/>
  <c r="AZ16" i="1"/>
  <c r="BA16" i="1"/>
  <c r="BB16" i="1"/>
  <c r="BC16" i="1"/>
  <c r="BD16" i="1"/>
  <c r="AW17" i="1"/>
  <c r="AY17" i="1"/>
  <c r="AZ17" i="1"/>
  <c r="BA17" i="1"/>
  <c r="BB17" i="1"/>
  <c r="BC17" i="1"/>
  <c r="BD17" i="1"/>
  <c r="AW18" i="1"/>
  <c r="AY18" i="1"/>
  <c r="AZ18" i="1"/>
  <c r="BA18" i="1"/>
  <c r="BB18" i="1"/>
  <c r="BC18" i="1"/>
  <c r="BD18" i="1"/>
  <c r="AW19" i="1"/>
  <c r="AY19" i="1"/>
  <c r="AZ19" i="1"/>
  <c r="BA19" i="1"/>
  <c r="BB19" i="1"/>
  <c r="BC19" i="1"/>
  <c r="BD19" i="1"/>
  <c r="AW20" i="1"/>
  <c r="AY20" i="1"/>
  <c r="AZ20" i="1"/>
  <c r="BA20" i="1"/>
  <c r="BB20" i="1"/>
  <c r="BC20" i="1"/>
  <c r="BD20" i="1"/>
  <c r="AW26" i="1"/>
  <c r="AY26" i="1"/>
  <c r="AZ26" i="1"/>
  <c r="BA26" i="1"/>
  <c r="BB26" i="1"/>
  <c r="BC26" i="1"/>
  <c r="BD26" i="1"/>
  <c r="AW27" i="1"/>
  <c r="AY27" i="1"/>
  <c r="AZ27" i="1"/>
  <c r="BA27" i="1"/>
  <c r="BB27" i="1"/>
  <c r="BC27" i="1"/>
  <c r="BD27" i="1"/>
  <c r="AW28" i="1"/>
  <c r="AY28" i="1"/>
  <c r="AZ28" i="1"/>
  <c r="BA28" i="1"/>
  <c r="BB28" i="1"/>
  <c r="BC28" i="1"/>
  <c r="BD28" i="1"/>
  <c r="AW29" i="1"/>
  <c r="AY29" i="1"/>
  <c r="AZ29" i="1"/>
  <c r="BA29" i="1"/>
  <c r="BB29" i="1"/>
  <c r="BC29" i="1"/>
  <c r="BD29" i="1"/>
  <c r="AW30" i="1"/>
  <c r="AY30" i="1"/>
  <c r="AZ30" i="1"/>
  <c r="BA30" i="1"/>
  <c r="BB30" i="1"/>
  <c r="BC30" i="1"/>
  <c r="BD30" i="1"/>
  <c r="AW31" i="1"/>
  <c r="AY31" i="1"/>
  <c r="AZ31" i="1"/>
  <c r="BA31" i="1"/>
  <c r="BB31" i="1"/>
  <c r="BC31" i="1"/>
  <c r="BD31" i="1"/>
  <c r="AW32" i="1"/>
  <c r="AY32" i="1"/>
  <c r="AZ32" i="1"/>
  <c r="BA32" i="1"/>
  <c r="BB32" i="1"/>
  <c r="BC32" i="1"/>
  <c r="BD32" i="1"/>
  <c r="AW33" i="1"/>
  <c r="AY33" i="1"/>
  <c r="AZ33" i="1"/>
  <c r="BA33" i="1"/>
  <c r="BB33" i="1"/>
  <c r="BC33" i="1"/>
  <c r="BD33" i="1"/>
  <c r="AW34" i="1"/>
  <c r="AY34" i="1"/>
  <c r="AZ34" i="1"/>
  <c r="BA34" i="1"/>
  <c r="BB34" i="1"/>
  <c r="BC34" i="1"/>
  <c r="BD34" i="1"/>
  <c r="AW35" i="1"/>
  <c r="AY35" i="1"/>
  <c r="AZ35" i="1"/>
  <c r="BA35" i="1"/>
  <c r="BB35" i="1"/>
  <c r="BC35" i="1"/>
  <c r="BD35" i="1"/>
  <c r="AW36" i="1"/>
  <c r="AY36" i="1"/>
  <c r="AZ36" i="1"/>
  <c r="BA36" i="1"/>
  <c r="BB36" i="1"/>
  <c r="BC36" i="1"/>
  <c r="BD36" i="1"/>
  <c r="AW37" i="1"/>
  <c r="AY37" i="1"/>
  <c r="AZ37" i="1"/>
  <c r="BA37" i="1"/>
  <c r="BB37" i="1"/>
  <c r="BC37" i="1"/>
  <c r="BD37" i="1"/>
  <c r="AW38" i="1"/>
  <c r="AY38" i="1"/>
  <c r="AZ38" i="1"/>
  <c r="BA38" i="1"/>
  <c r="BB38" i="1"/>
  <c r="BC38" i="1"/>
  <c r="BD38" i="1"/>
  <c r="AW39" i="1"/>
  <c r="AY39" i="1"/>
  <c r="AZ39" i="1"/>
  <c r="BA39" i="1"/>
  <c r="BB39" i="1"/>
  <c r="BC39" i="1"/>
  <c r="BD39" i="1"/>
  <c r="AW40" i="1"/>
  <c r="AY40" i="1"/>
  <c r="AZ40" i="1"/>
  <c r="BA40" i="1"/>
  <c r="BB40" i="1"/>
  <c r="BC40" i="1"/>
  <c r="BD40" i="1"/>
  <c r="AW41" i="1"/>
  <c r="AY41" i="1"/>
  <c r="AZ41" i="1"/>
  <c r="BA41" i="1"/>
  <c r="BB41" i="1"/>
  <c r="BC41" i="1"/>
  <c r="BD41" i="1"/>
  <c r="AW42" i="1"/>
  <c r="AY42" i="1"/>
  <c r="AZ42" i="1"/>
  <c r="BA42" i="1"/>
  <c r="BB42" i="1"/>
  <c r="BC42" i="1"/>
  <c r="BD42" i="1"/>
  <c r="AW43" i="1"/>
  <c r="AY43" i="1"/>
  <c r="AZ43" i="1"/>
  <c r="BA43" i="1"/>
  <c r="BB43" i="1"/>
  <c r="BC43" i="1"/>
  <c r="BD43" i="1"/>
  <c r="AW44" i="1"/>
  <c r="AY44" i="1"/>
  <c r="AZ44" i="1"/>
  <c r="BA44" i="1"/>
  <c r="BB44" i="1"/>
  <c r="BC44" i="1"/>
  <c r="BD44" i="1"/>
  <c r="AW45" i="1"/>
  <c r="AY45" i="1"/>
  <c r="AZ45" i="1"/>
  <c r="BA45" i="1"/>
  <c r="BB45" i="1"/>
  <c r="BC45" i="1"/>
  <c r="BD45" i="1"/>
  <c r="AW46" i="1"/>
  <c r="AY46" i="1"/>
  <c r="AZ46" i="1"/>
  <c r="BA46" i="1"/>
  <c r="BB46" i="1"/>
  <c r="BC46" i="1"/>
  <c r="BD46" i="1"/>
  <c r="AW47" i="1"/>
  <c r="AY47" i="1"/>
  <c r="AZ47" i="1"/>
  <c r="BA47" i="1"/>
  <c r="BB47" i="1"/>
  <c r="BC47" i="1"/>
  <c r="BD47" i="1"/>
  <c r="AW48" i="1"/>
  <c r="AY48" i="1"/>
  <c r="AZ48" i="1"/>
  <c r="BA48" i="1"/>
  <c r="BB48" i="1"/>
  <c r="BC48" i="1"/>
  <c r="BD48" i="1"/>
  <c r="AW49" i="1"/>
  <c r="AY49" i="1"/>
  <c r="AZ49" i="1"/>
  <c r="BA49" i="1"/>
  <c r="BB49" i="1"/>
  <c r="BC49" i="1"/>
  <c r="BD49" i="1"/>
  <c r="AW50" i="1"/>
  <c r="AY50" i="1"/>
  <c r="AZ50" i="1"/>
  <c r="BA50" i="1"/>
  <c r="BB50" i="1"/>
  <c r="BC50" i="1"/>
  <c r="BD50" i="1"/>
  <c r="AW51" i="1"/>
  <c r="AY51" i="1"/>
  <c r="AZ51" i="1"/>
  <c r="BA51" i="1"/>
  <c r="BB51" i="1"/>
  <c r="BC51" i="1"/>
  <c r="BD51" i="1"/>
  <c r="AW52" i="1"/>
  <c r="AY52" i="1"/>
  <c r="AZ52" i="1"/>
  <c r="BA52" i="1"/>
  <c r="BB52" i="1"/>
  <c r="BC52" i="1"/>
  <c r="BD52" i="1"/>
  <c r="AW53" i="1"/>
  <c r="AY53" i="1"/>
  <c r="AZ53" i="1"/>
  <c r="BA53" i="1"/>
  <c r="BB53" i="1"/>
  <c r="BC53" i="1"/>
  <c r="BD53" i="1"/>
  <c r="AW54" i="1"/>
  <c r="AY54" i="1"/>
  <c r="AZ54" i="1"/>
  <c r="BA54" i="1"/>
  <c r="BB54" i="1"/>
  <c r="BC54" i="1"/>
  <c r="BD54" i="1"/>
  <c r="AW55" i="1"/>
  <c r="AY55" i="1"/>
  <c r="AZ55" i="1"/>
  <c r="BA55" i="1"/>
  <c r="BB55" i="1"/>
  <c r="BC55" i="1"/>
  <c r="BD55" i="1"/>
  <c r="AW56" i="1"/>
  <c r="AY56" i="1"/>
  <c r="AZ56" i="1"/>
  <c r="BA56" i="1"/>
  <c r="BB56" i="1"/>
  <c r="BC56" i="1"/>
  <c r="BD56" i="1"/>
  <c r="AW57" i="1"/>
  <c r="AY57" i="1"/>
  <c r="AZ57" i="1"/>
  <c r="BA57" i="1"/>
  <c r="BB57" i="1"/>
  <c r="BC57" i="1"/>
  <c r="BD57" i="1"/>
  <c r="AW58" i="1"/>
  <c r="AY58" i="1"/>
  <c r="AZ58" i="1"/>
  <c r="BA58" i="1"/>
  <c r="BB58" i="1"/>
  <c r="BC58" i="1"/>
  <c r="BD58" i="1"/>
  <c r="AW59" i="1"/>
  <c r="AY59" i="1"/>
  <c r="AZ59" i="1"/>
  <c r="BA59" i="1"/>
  <c r="BB59" i="1"/>
  <c r="BC59" i="1"/>
  <c r="BD59" i="1"/>
  <c r="AW60" i="1"/>
  <c r="AY60" i="1"/>
  <c r="AZ60" i="1"/>
  <c r="BA60" i="1"/>
  <c r="BB60" i="1"/>
  <c r="BC60" i="1"/>
  <c r="BD60" i="1"/>
  <c r="AW61" i="1"/>
  <c r="AY61" i="1"/>
  <c r="AZ61" i="1"/>
  <c r="BA61" i="1"/>
  <c r="BB61" i="1"/>
  <c r="BC61" i="1"/>
  <c r="BD61" i="1"/>
  <c r="AW62" i="1"/>
  <c r="AY62" i="1"/>
  <c r="AZ62" i="1"/>
  <c r="BA62" i="1"/>
  <c r="BB62" i="1"/>
  <c r="BC62" i="1"/>
  <c r="BD62" i="1"/>
  <c r="AW63" i="1"/>
  <c r="AY63" i="1"/>
  <c r="AZ63" i="1"/>
  <c r="BA63" i="1"/>
  <c r="BB63" i="1"/>
  <c r="BC63" i="1"/>
  <c r="BD63" i="1"/>
  <c r="AW64" i="1"/>
  <c r="AY64" i="1"/>
  <c r="AZ64" i="1"/>
  <c r="BA64" i="1"/>
  <c r="BB64" i="1"/>
  <c r="BC64" i="1"/>
  <c r="BD64" i="1"/>
  <c r="AW65" i="1"/>
  <c r="AY65" i="1"/>
  <c r="AZ65" i="1"/>
  <c r="BA65" i="1"/>
  <c r="BB65" i="1"/>
  <c r="BC65" i="1"/>
  <c r="BD65" i="1"/>
  <c r="AW66" i="1"/>
  <c r="AY66" i="1"/>
  <c r="AZ66" i="1"/>
  <c r="BA66" i="1"/>
  <c r="BB66" i="1"/>
  <c r="BC66" i="1"/>
  <c r="BD66" i="1"/>
  <c r="AW67" i="1"/>
  <c r="AY67" i="1"/>
  <c r="AZ67" i="1"/>
  <c r="BA67" i="1"/>
  <c r="BB67" i="1"/>
  <c r="BC67" i="1"/>
  <c r="BD67" i="1"/>
  <c r="AW68" i="1"/>
  <c r="AY68" i="1"/>
  <c r="AZ68" i="1"/>
  <c r="BA68" i="1"/>
  <c r="BB68" i="1"/>
  <c r="BC68" i="1"/>
  <c r="BD68" i="1"/>
  <c r="AW69" i="1"/>
  <c r="AY69" i="1"/>
  <c r="AZ69" i="1"/>
  <c r="BA69" i="1"/>
  <c r="BB69" i="1"/>
  <c r="BC69" i="1"/>
  <c r="BD69" i="1"/>
  <c r="AW70" i="1"/>
  <c r="AY70" i="1"/>
  <c r="AZ70" i="1"/>
  <c r="BA70" i="1"/>
  <c r="BB70" i="1"/>
  <c r="BC70" i="1"/>
  <c r="BD70" i="1"/>
  <c r="AW71" i="1"/>
  <c r="AY71" i="1"/>
  <c r="AZ71" i="1"/>
  <c r="BA71" i="1"/>
  <c r="BB71" i="1"/>
  <c r="BC71" i="1"/>
  <c r="BD71" i="1"/>
  <c r="AW72" i="1"/>
  <c r="AY72" i="1"/>
  <c r="AZ72" i="1"/>
  <c r="BA72" i="1"/>
  <c r="BB72" i="1"/>
  <c r="BC72" i="1"/>
  <c r="BD72" i="1"/>
  <c r="AW73" i="1"/>
  <c r="AY73" i="1"/>
  <c r="AZ73" i="1"/>
  <c r="BA73" i="1"/>
  <c r="BB73" i="1"/>
  <c r="BC73" i="1"/>
  <c r="BD73" i="1"/>
  <c r="AW74" i="1"/>
  <c r="AY74" i="1"/>
  <c r="AZ74" i="1"/>
  <c r="BA74" i="1"/>
  <c r="BB74" i="1"/>
  <c r="BC74" i="1"/>
  <c r="BD74" i="1"/>
  <c r="AW75" i="1"/>
  <c r="AY75" i="1"/>
  <c r="AZ75" i="1"/>
  <c r="BA75" i="1"/>
  <c r="BB75" i="1"/>
  <c r="BC75" i="1"/>
  <c r="BD75" i="1"/>
  <c r="AW76" i="1"/>
  <c r="AY76" i="1"/>
  <c r="AZ76" i="1"/>
  <c r="BA76" i="1"/>
  <c r="BB76" i="1"/>
  <c r="BC76" i="1"/>
  <c r="BD76" i="1"/>
  <c r="AW77" i="1"/>
  <c r="AY77" i="1"/>
  <c r="AZ77" i="1"/>
  <c r="BA77" i="1"/>
  <c r="BB77" i="1"/>
  <c r="BC77" i="1"/>
  <c r="BD77" i="1"/>
  <c r="AW78" i="1"/>
  <c r="AY78" i="1"/>
  <c r="AZ78" i="1"/>
  <c r="BA78" i="1"/>
  <c r="BB78" i="1"/>
  <c r="BC78" i="1"/>
  <c r="BD78" i="1"/>
  <c r="AW79" i="1"/>
  <c r="AY79" i="1"/>
  <c r="AZ79" i="1"/>
  <c r="BA79" i="1"/>
  <c r="BB79" i="1"/>
  <c r="BC79" i="1"/>
  <c r="BD79" i="1"/>
  <c r="AW80" i="1"/>
  <c r="AY80" i="1"/>
  <c r="AZ80" i="1"/>
  <c r="BA80" i="1"/>
  <c r="BB80" i="1"/>
  <c r="BC80" i="1"/>
  <c r="BD80" i="1"/>
  <c r="AW81" i="1"/>
  <c r="AY81" i="1"/>
  <c r="AZ81" i="1"/>
  <c r="BA81" i="1"/>
  <c r="BB81" i="1"/>
  <c r="BC81" i="1"/>
  <c r="BD81" i="1"/>
  <c r="AW82" i="1"/>
  <c r="AY82" i="1"/>
  <c r="AZ82" i="1"/>
  <c r="BA82" i="1"/>
  <c r="BB82" i="1"/>
  <c r="BC82" i="1"/>
  <c r="BD82" i="1"/>
  <c r="AW83" i="1"/>
  <c r="AY83" i="1"/>
  <c r="AZ83" i="1"/>
  <c r="BA83" i="1"/>
  <c r="BB83" i="1"/>
  <c r="BC83" i="1"/>
  <c r="BD83" i="1"/>
  <c r="AW84" i="1"/>
  <c r="AY84" i="1"/>
  <c r="AZ84" i="1"/>
  <c r="BA84" i="1"/>
  <c r="BB84" i="1"/>
  <c r="BC84" i="1"/>
  <c r="BD84" i="1"/>
  <c r="AW85" i="1"/>
  <c r="AY85" i="1"/>
  <c r="AZ85" i="1"/>
  <c r="BA85" i="1"/>
  <c r="BB85" i="1"/>
  <c r="BC85" i="1"/>
  <c r="BD85" i="1"/>
  <c r="AW86" i="1"/>
  <c r="AY86" i="1"/>
  <c r="AZ86" i="1"/>
  <c r="BA86" i="1"/>
  <c r="BB86" i="1"/>
  <c r="BC86" i="1"/>
  <c r="BD86" i="1"/>
  <c r="AW87" i="1"/>
  <c r="AY87" i="1"/>
  <c r="AZ87" i="1"/>
  <c r="BA87" i="1"/>
  <c r="BB87" i="1"/>
  <c r="BC87" i="1"/>
  <c r="BD87" i="1"/>
  <c r="AW88" i="1"/>
  <c r="AY88" i="1"/>
  <c r="AZ88" i="1"/>
  <c r="BA88" i="1"/>
  <c r="BB88" i="1"/>
  <c r="BC88" i="1"/>
  <c r="BD88" i="1"/>
  <c r="AW89" i="1"/>
  <c r="AY89" i="1"/>
  <c r="AZ89" i="1"/>
  <c r="BA89" i="1"/>
  <c r="BB89" i="1"/>
  <c r="BC89" i="1"/>
  <c r="BD89" i="1"/>
  <c r="AW90" i="1"/>
  <c r="AY90" i="1"/>
  <c r="AZ90" i="1"/>
  <c r="BA90" i="1"/>
  <c r="BB90" i="1"/>
  <c r="BC90" i="1"/>
  <c r="BD90" i="1"/>
  <c r="AW91" i="1"/>
  <c r="AY91" i="1"/>
  <c r="AZ91" i="1"/>
  <c r="BA91" i="1"/>
  <c r="BB91" i="1"/>
  <c r="BC91" i="1"/>
  <c r="BD91" i="1"/>
  <c r="AW92" i="1"/>
  <c r="AY92" i="1"/>
  <c r="AZ92" i="1"/>
  <c r="BA92" i="1"/>
  <c r="BB92" i="1"/>
  <c r="BC92" i="1"/>
  <c r="BD92" i="1"/>
  <c r="AW93" i="1"/>
  <c r="AY93" i="1"/>
  <c r="AZ93" i="1"/>
  <c r="BA93" i="1"/>
  <c r="BB93" i="1"/>
  <c r="BC93" i="1"/>
  <c r="BD93" i="1"/>
  <c r="AW94" i="1"/>
  <c r="AY94" i="1"/>
  <c r="AZ94" i="1"/>
  <c r="BA94" i="1"/>
  <c r="BB94" i="1"/>
  <c r="BC94" i="1"/>
  <c r="BD94" i="1"/>
  <c r="AW95" i="1"/>
  <c r="AY95" i="1"/>
  <c r="AZ95" i="1"/>
  <c r="BA95" i="1"/>
  <c r="BB95" i="1"/>
  <c r="BC95" i="1"/>
  <c r="BD95" i="1"/>
  <c r="AW96" i="1"/>
  <c r="AY96" i="1"/>
  <c r="AZ96" i="1"/>
  <c r="BA96" i="1"/>
  <c r="BB96" i="1"/>
  <c r="BC96" i="1"/>
  <c r="BD96" i="1"/>
  <c r="AW97" i="1"/>
  <c r="AY97" i="1"/>
  <c r="AZ97" i="1"/>
  <c r="BA97" i="1"/>
  <c r="BB97" i="1"/>
  <c r="BC97" i="1"/>
  <c r="BD97" i="1"/>
  <c r="AW98" i="1"/>
  <c r="AY98" i="1"/>
  <c r="AZ98" i="1"/>
  <c r="BA98" i="1"/>
  <c r="BB98" i="1"/>
  <c r="BC98" i="1"/>
  <c r="BD98" i="1"/>
  <c r="AW99" i="1"/>
  <c r="AY99" i="1"/>
  <c r="AZ99" i="1"/>
  <c r="BA99" i="1"/>
  <c r="BB99" i="1"/>
  <c r="BC99" i="1"/>
  <c r="BD99" i="1"/>
  <c r="AW100" i="1"/>
  <c r="AY100" i="1"/>
  <c r="AZ100" i="1"/>
  <c r="BA100" i="1"/>
  <c r="BB100" i="1"/>
  <c r="BC100" i="1"/>
  <c r="BD100" i="1"/>
  <c r="AW102" i="1"/>
  <c r="AY102" i="1"/>
  <c r="AZ102" i="1"/>
  <c r="BA102" i="1"/>
  <c r="BB102" i="1"/>
  <c r="BC102" i="1"/>
  <c r="BD102" i="1"/>
  <c r="AW103" i="1"/>
  <c r="AY103" i="1"/>
  <c r="AZ103" i="1"/>
  <c r="BA103" i="1"/>
  <c r="BB103" i="1"/>
  <c r="BC103" i="1"/>
  <c r="BD103" i="1"/>
  <c r="AW104" i="1"/>
  <c r="AY104" i="1"/>
  <c r="AZ104" i="1"/>
  <c r="BA104" i="1"/>
  <c r="BB104" i="1"/>
  <c r="BC104" i="1"/>
  <c r="BD104" i="1"/>
  <c r="AW105" i="1"/>
  <c r="AY105" i="1"/>
  <c r="AZ105" i="1"/>
  <c r="BA105" i="1"/>
  <c r="BB105" i="1"/>
  <c r="BC105" i="1"/>
  <c r="BD105" i="1"/>
  <c r="AW106" i="1"/>
  <c r="AY106" i="1"/>
  <c r="AZ106" i="1"/>
  <c r="BA106" i="1"/>
  <c r="BB106" i="1"/>
  <c r="BC106" i="1"/>
  <c r="BD106" i="1"/>
  <c r="AW107" i="1"/>
  <c r="AY107" i="1"/>
  <c r="AZ107" i="1"/>
  <c r="BA107" i="1"/>
  <c r="BB107" i="1"/>
  <c r="BC107" i="1"/>
  <c r="BD107" i="1"/>
  <c r="AW108" i="1"/>
  <c r="AY108" i="1"/>
  <c r="AZ108" i="1"/>
  <c r="BA108" i="1"/>
  <c r="BB108" i="1"/>
  <c r="BC108" i="1"/>
  <c r="BD108" i="1"/>
  <c r="AW109" i="1"/>
  <c r="AY109" i="1"/>
  <c r="AZ109" i="1"/>
  <c r="BA109" i="1"/>
  <c r="BB109" i="1"/>
  <c r="BC109" i="1"/>
  <c r="BD109" i="1"/>
  <c r="AW110" i="1"/>
  <c r="AY110" i="1"/>
  <c r="AZ110" i="1"/>
  <c r="BA110" i="1"/>
  <c r="BB110" i="1"/>
  <c r="BC110" i="1"/>
  <c r="BD110" i="1"/>
  <c r="AW111" i="1"/>
  <c r="AY111" i="1"/>
  <c r="AZ111" i="1"/>
  <c r="BA111" i="1"/>
  <c r="BB111" i="1"/>
  <c r="BC111" i="1"/>
  <c r="BD111" i="1"/>
  <c r="AW112" i="1"/>
  <c r="AY112" i="1"/>
  <c r="AZ112" i="1"/>
  <c r="BA112" i="1"/>
  <c r="BB112" i="1"/>
  <c r="BC112" i="1"/>
  <c r="BD112" i="1"/>
  <c r="AW113" i="1"/>
  <c r="AY113" i="1"/>
  <c r="AZ113" i="1"/>
  <c r="BA113" i="1"/>
  <c r="BB113" i="1"/>
  <c r="BC113" i="1"/>
  <c r="BD113" i="1"/>
  <c r="AW114" i="1"/>
  <c r="AY114" i="1"/>
  <c r="AZ114" i="1"/>
  <c r="BA114" i="1"/>
  <c r="BB114" i="1"/>
  <c r="BC114" i="1"/>
  <c r="BD114" i="1"/>
  <c r="AW115" i="1"/>
  <c r="AY115" i="1"/>
  <c r="AZ115" i="1"/>
  <c r="BA115" i="1"/>
  <c r="BB115" i="1"/>
  <c r="BC115" i="1"/>
  <c r="BD115" i="1"/>
  <c r="AW116" i="1"/>
  <c r="AY116" i="1"/>
  <c r="AZ116" i="1"/>
  <c r="BA116" i="1"/>
  <c r="BB116" i="1"/>
  <c r="BC116" i="1"/>
  <c r="BD116" i="1"/>
  <c r="AW117" i="1"/>
  <c r="AY117" i="1"/>
  <c r="AZ117" i="1"/>
  <c r="BA117" i="1"/>
  <c r="BB117" i="1"/>
  <c r="BC117" i="1"/>
  <c r="BD117" i="1"/>
  <c r="AW119" i="1"/>
  <c r="AY119" i="1"/>
  <c r="AZ119" i="1"/>
  <c r="BA119" i="1"/>
  <c r="BB119" i="1"/>
  <c r="BC119" i="1"/>
  <c r="BD119" i="1"/>
  <c r="AW120" i="1"/>
  <c r="AY120" i="1"/>
  <c r="AZ120" i="1"/>
  <c r="BA120" i="1"/>
  <c r="BB120" i="1"/>
  <c r="BC120" i="1"/>
  <c r="BD120" i="1"/>
  <c r="AW121" i="1"/>
  <c r="AY121" i="1"/>
  <c r="AZ121" i="1"/>
  <c r="BA121" i="1"/>
  <c r="BB121" i="1"/>
  <c r="BC121" i="1"/>
  <c r="BD121" i="1"/>
  <c r="AW122" i="1"/>
  <c r="AY122" i="1"/>
  <c r="AZ122" i="1"/>
  <c r="BA122" i="1"/>
  <c r="BB122" i="1"/>
  <c r="BC122" i="1"/>
  <c r="BD122" i="1"/>
  <c r="AW123" i="1"/>
  <c r="AY123" i="1"/>
  <c r="AZ123" i="1"/>
  <c r="BA123" i="1"/>
  <c r="BB123" i="1"/>
  <c r="BC123" i="1"/>
  <c r="BD123" i="1"/>
  <c r="AW124" i="1"/>
  <c r="AY124" i="1"/>
  <c r="AZ124" i="1"/>
  <c r="BA124" i="1"/>
  <c r="BB124" i="1"/>
  <c r="BC124" i="1"/>
  <c r="BD124" i="1"/>
  <c r="AW125" i="1"/>
  <c r="AY125" i="1"/>
  <c r="AZ125" i="1"/>
  <c r="BA125" i="1"/>
  <c r="BB125" i="1"/>
  <c r="BC125" i="1"/>
  <c r="BD125" i="1"/>
  <c r="AW126" i="1"/>
  <c r="AY126" i="1"/>
  <c r="AZ126" i="1"/>
  <c r="BA126" i="1"/>
  <c r="BB126" i="1"/>
  <c r="BC126" i="1"/>
  <c r="BD126" i="1"/>
  <c r="AW127" i="1"/>
  <c r="AY127" i="1"/>
  <c r="AZ127" i="1"/>
  <c r="BA127" i="1"/>
  <c r="BB127" i="1"/>
  <c r="BC127" i="1"/>
  <c r="BD127" i="1"/>
  <c r="AW128" i="1"/>
  <c r="AY128" i="1"/>
  <c r="AZ128" i="1"/>
  <c r="BA128" i="1"/>
  <c r="BB128" i="1"/>
  <c r="BC128" i="1"/>
  <c r="BD128" i="1"/>
  <c r="AW131" i="1"/>
  <c r="AY131" i="1"/>
  <c r="AZ131" i="1"/>
  <c r="BA131" i="1"/>
  <c r="BB131" i="1"/>
  <c r="BC131" i="1"/>
  <c r="BD131" i="1"/>
  <c r="AW132" i="1"/>
  <c r="AY132" i="1"/>
  <c r="AZ132" i="1"/>
  <c r="BA132" i="1"/>
  <c r="BB132" i="1"/>
  <c r="BC132" i="1"/>
  <c r="BD132" i="1"/>
  <c r="AW135" i="1"/>
  <c r="AY135" i="1"/>
  <c r="AZ135" i="1"/>
  <c r="BA135" i="1"/>
  <c r="BB135" i="1"/>
  <c r="BC135" i="1"/>
  <c r="BD135" i="1"/>
  <c r="AW136" i="1"/>
  <c r="AY136" i="1"/>
  <c r="AZ136" i="1"/>
  <c r="BA136" i="1"/>
  <c r="BB136" i="1"/>
  <c r="BC136" i="1"/>
  <c r="BD136" i="1"/>
  <c r="AW137" i="1"/>
  <c r="AY137" i="1"/>
  <c r="AZ137" i="1"/>
  <c r="BA137" i="1"/>
  <c r="BB137" i="1"/>
  <c r="BC137" i="1"/>
  <c r="BD137" i="1"/>
  <c r="AW138" i="1"/>
  <c r="AY138" i="1"/>
  <c r="AZ138" i="1"/>
  <c r="BA138" i="1"/>
  <c r="BB138" i="1"/>
  <c r="BC138" i="1"/>
  <c r="BD138" i="1"/>
  <c r="AW140" i="1"/>
  <c r="AY140" i="1"/>
  <c r="AZ140" i="1"/>
  <c r="BA140" i="1"/>
  <c r="BB140" i="1"/>
  <c r="BC140" i="1"/>
  <c r="BD140" i="1"/>
  <c r="AW141" i="1"/>
  <c r="AY141" i="1"/>
  <c r="AZ141" i="1"/>
  <c r="BA141" i="1"/>
  <c r="BB141" i="1"/>
  <c r="BC141" i="1"/>
  <c r="BD141" i="1"/>
  <c r="AW142" i="1"/>
  <c r="AY142" i="1"/>
  <c r="AZ142" i="1"/>
  <c r="BA142" i="1"/>
  <c r="BB142" i="1"/>
  <c r="BC142" i="1"/>
  <c r="BD142" i="1"/>
  <c r="AW143" i="1"/>
  <c r="AY143" i="1"/>
  <c r="AZ143" i="1"/>
  <c r="BA143" i="1"/>
  <c r="BB143" i="1"/>
  <c r="BC143" i="1"/>
  <c r="BD143" i="1"/>
  <c r="AW144" i="1"/>
  <c r="AY144" i="1"/>
  <c r="AZ144" i="1"/>
  <c r="BA144" i="1"/>
  <c r="BB144" i="1"/>
  <c r="BC144" i="1"/>
  <c r="BD144" i="1"/>
  <c r="AW145" i="1"/>
  <c r="AY145" i="1"/>
  <c r="AZ145" i="1"/>
  <c r="BA145" i="1"/>
  <c r="BB145" i="1"/>
  <c r="BC145" i="1"/>
  <c r="BD145" i="1"/>
  <c r="AW146" i="1"/>
  <c r="AY146" i="1"/>
  <c r="AZ146" i="1"/>
  <c r="BA146" i="1"/>
  <c r="BB146" i="1"/>
  <c r="BC146" i="1"/>
  <c r="BD146" i="1"/>
  <c r="AW147" i="1"/>
  <c r="AY147" i="1"/>
  <c r="AZ147" i="1"/>
  <c r="BA147" i="1"/>
  <c r="BB147" i="1"/>
  <c r="BC147" i="1"/>
  <c r="BD147" i="1"/>
  <c r="AW148" i="1"/>
  <c r="AY148" i="1"/>
  <c r="AZ148" i="1"/>
  <c r="BA148" i="1"/>
  <c r="BB148" i="1"/>
  <c r="BC148" i="1"/>
  <c r="BD148" i="1"/>
  <c r="AW150" i="1"/>
  <c r="AY150" i="1"/>
  <c r="AZ150" i="1"/>
  <c r="BA150" i="1"/>
  <c r="BB150" i="1"/>
  <c r="BC150" i="1"/>
  <c r="BD150" i="1"/>
  <c r="AW151" i="1"/>
  <c r="AY151" i="1"/>
  <c r="AZ151" i="1"/>
  <c r="BA151" i="1"/>
  <c r="BB151" i="1"/>
  <c r="BC151" i="1"/>
  <c r="BD151" i="1"/>
  <c r="AW152" i="1"/>
  <c r="AY152" i="1"/>
  <c r="AZ152" i="1"/>
  <c r="BA152" i="1"/>
  <c r="BB152" i="1"/>
  <c r="BC152" i="1"/>
  <c r="BD152" i="1"/>
  <c r="AW153" i="1"/>
  <c r="AY153" i="1"/>
  <c r="AZ153" i="1"/>
  <c r="BA153" i="1"/>
  <c r="BB153" i="1"/>
  <c r="BC153" i="1"/>
  <c r="BD153" i="1"/>
  <c r="AW154" i="1"/>
  <c r="AY154" i="1"/>
  <c r="AZ154" i="1"/>
  <c r="BA154" i="1"/>
  <c r="BB154" i="1"/>
  <c r="BC154" i="1"/>
  <c r="BD154" i="1"/>
  <c r="AW155" i="1"/>
  <c r="AY155" i="1"/>
  <c r="AZ155" i="1"/>
  <c r="BA155" i="1"/>
  <c r="BB155" i="1"/>
  <c r="BC155" i="1"/>
  <c r="BD155" i="1"/>
  <c r="AW156" i="1"/>
  <c r="AY156" i="1"/>
  <c r="AZ156" i="1"/>
  <c r="BA156" i="1"/>
  <c r="BB156" i="1"/>
  <c r="BC156" i="1"/>
  <c r="BD156" i="1"/>
  <c r="AW160" i="1"/>
  <c r="AY160" i="1"/>
  <c r="AZ160" i="1"/>
  <c r="BA160" i="1"/>
  <c r="BB160" i="1"/>
  <c r="BC160" i="1"/>
  <c r="BD160" i="1"/>
  <c r="AW161" i="1"/>
  <c r="AY161" i="1"/>
  <c r="AZ161" i="1"/>
  <c r="BA161" i="1"/>
  <c r="BB161" i="1"/>
  <c r="BC161" i="1"/>
  <c r="BD161" i="1"/>
  <c r="AW162" i="1"/>
  <c r="AY162" i="1"/>
  <c r="AZ162" i="1"/>
  <c r="BA162" i="1"/>
  <c r="BB162" i="1"/>
  <c r="BC162" i="1"/>
  <c r="BD162" i="1"/>
  <c r="AW163" i="1"/>
  <c r="AY163" i="1"/>
  <c r="AZ163" i="1"/>
  <c r="BA163" i="1"/>
  <c r="BB163" i="1"/>
  <c r="BC163" i="1"/>
  <c r="BD163" i="1"/>
  <c r="AW164" i="1"/>
  <c r="AY164" i="1"/>
  <c r="AZ164" i="1"/>
  <c r="BA164" i="1"/>
  <c r="BB164" i="1"/>
  <c r="BC164" i="1"/>
  <c r="BD164" i="1"/>
  <c r="AW167" i="1"/>
  <c r="AY167" i="1"/>
  <c r="AZ167" i="1"/>
  <c r="BA167" i="1"/>
  <c r="BB167" i="1"/>
  <c r="BC167" i="1"/>
  <c r="BD167" i="1"/>
  <c r="AW168" i="1"/>
  <c r="AY168" i="1"/>
  <c r="AZ168" i="1"/>
  <c r="BA168" i="1"/>
  <c r="BB168" i="1"/>
  <c r="BC168" i="1"/>
  <c r="BD168" i="1"/>
  <c r="AW169" i="1"/>
  <c r="AY169" i="1"/>
  <c r="AZ169" i="1"/>
  <c r="BA169" i="1"/>
  <c r="BB169" i="1"/>
  <c r="BC169" i="1"/>
  <c r="BD169" i="1"/>
  <c r="AW170" i="1"/>
  <c r="AY170" i="1"/>
  <c r="AZ170" i="1"/>
  <c r="BA170" i="1"/>
  <c r="BB170" i="1"/>
  <c r="BC170" i="1"/>
  <c r="BD170" i="1"/>
  <c r="AW171" i="1"/>
  <c r="AY171" i="1"/>
  <c r="AZ171" i="1"/>
  <c r="BA171" i="1"/>
  <c r="BB171" i="1"/>
  <c r="BC171" i="1"/>
  <c r="BD171" i="1"/>
  <c r="AW172" i="1"/>
  <c r="AY172" i="1"/>
  <c r="AZ172" i="1"/>
  <c r="BA172" i="1"/>
  <c r="BB172" i="1"/>
  <c r="BC172" i="1"/>
  <c r="BD172" i="1"/>
  <c r="AW173" i="1"/>
  <c r="AY173" i="1"/>
  <c r="AZ173" i="1"/>
  <c r="BA173" i="1"/>
  <c r="BB173" i="1"/>
  <c r="BC173" i="1"/>
  <c r="BD173" i="1"/>
  <c r="AW174" i="1"/>
  <c r="AY174" i="1"/>
  <c r="AZ174" i="1"/>
  <c r="BA174" i="1"/>
  <c r="BB174" i="1"/>
  <c r="BC174" i="1"/>
  <c r="BD174" i="1"/>
  <c r="AW175" i="1"/>
  <c r="AY175" i="1"/>
  <c r="AZ175" i="1"/>
  <c r="BA175" i="1"/>
  <c r="BB175" i="1"/>
  <c r="BC175" i="1"/>
  <c r="BD175" i="1"/>
  <c r="AW176" i="1"/>
  <c r="AY176" i="1"/>
  <c r="AZ176" i="1"/>
  <c r="BA176" i="1"/>
  <c r="BB176" i="1"/>
  <c r="BC176" i="1"/>
  <c r="BD176" i="1"/>
  <c r="AW177" i="1"/>
  <c r="AY177" i="1"/>
  <c r="AZ177" i="1"/>
  <c r="BA177" i="1"/>
  <c r="BB177" i="1"/>
  <c r="BC177" i="1"/>
  <c r="BD177" i="1"/>
  <c r="AW178" i="1"/>
  <c r="AY178" i="1"/>
  <c r="AZ178" i="1"/>
  <c r="BA178" i="1"/>
  <c r="BB178" i="1"/>
  <c r="BC178" i="1"/>
  <c r="BD178" i="1"/>
  <c r="BD4" i="1"/>
  <c r="BC4" i="1"/>
  <c r="BB4" i="1"/>
  <c r="BA4" i="1"/>
  <c r="AZ4" i="1"/>
  <c r="AY4" i="1"/>
  <c r="AW4" i="1"/>
  <c r="AS2" i="1"/>
  <c r="AT2" i="1"/>
  <c r="AU2" i="1"/>
  <c r="AV2" i="1"/>
  <c r="AT23" i="1"/>
  <c r="AV157" i="1"/>
  <c r="AU101" i="1"/>
  <c r="AU24" i="1"/>
  <c r="AT139" i="1"/>
  <c r="AU130" i="1"/>
  <c r="AT166" i="1"/>
  <c r="AV21" i="1"/>
  <c r="AT165" i="1"/>
  <c r="AS139" i="1"/>
  <c r="AT158" i="1"/>
  <c r="AT149" i="1"/>
  <c r="AS22" i="1"/>
  <c r="AT129" i="1"/>
  <c r="AT24" i="1"/>
  <c r="AU25" i="1"/>
  <c r="AS130" i="1"/>
  <c r="AU118" i="1"/>
  <c r="AV133" i="1"/>
  <c r="AS118" i="1"/>
  <c r="AV134" i="1"/>
  <c r="AS23" i="1"/>
  <c r="AT130" i="1"/>
  <c r="AU22" i="1"/>
  <c r="AU139" i="1"/>
  <c r="AT159" i="1"/>
  <c r="AV23" i="1"/>
  <c r="AS21" i="1"/>
  <c r="AV149" i="1"/>
  <c r="AS158" i="1"/>
  <c r="AU157" i="1"/>
  <c r="AV118" i="1"/>
  <c r="AS25" i="1"/>
  <c r="AU159" i="1"/>
  <c r="AT118" i="1"/>
  <c r="AU134" i="1"/>
  <c r="AU129" i="1"/>
  <c r="AT25" i="1"/>
  <c r="AS157" i="1"/>
  <c r="AU166" i="1"/>
  <c r="AV129" i="1"/>
  <c r="AT22" i="1"/>
  <c r="AV158" i="1"/>
  <c r="AS165" i="1"/>
  <c r="AV101" i="1"/>
  <c r="AS159" i="1"/>
  <c r="AU23" i="1"/>
  <c r="AS166" i="1"/>
  <c r="AV25" i="1"/>
  <c r="AV24" i="1"/>
  <c r="AS24" i="1"/>
  <c r="AU21" i="1"/>
  <c r="AT157" i="1"/>
  <c r="AV165" i="1"/>
  <c r="AT134" i="1"/>
  <c r="AT21" i="1"/>
  <c r="AU149" i="1"/>
  <c r="AU158" i="1"/>
  <c r="AS129" i="1"/>
  <c r="AS149" i="1"/>
  <c r="AV166" i="1"/>
  <c r="AV159" i="1"/>
  <c r="AU165" i="1"/>
  <c r="AV139" i="1"/>
  <c r="AT133" i="1"/>
  <c r="AV130" i="1"/>
  <c r="AT101" i="1"/>
  <c r="AU133" i="1"/>
  <c r="AS134" i="1"/>
  <c r="AV22" i="1"/>
  <c r="N4" i="8" l="1"/>
  <c r="V31" i="3" s="1"/>
  <c r="N6" i="8"/>
  <c r="X31" i="3" s="1"/>
  <c r="N3" i="8"/>
  <c r="U31" i="3" s="1"/>
  <c r="N5" i="8"/>
  <c r="W31" i="3" s="1"/>
  <c r="N7" i="8"/>
  <c r="Y31" i="3" s="1"/>
  <c r="G3" i="8"/>
  <c r="L3" i="8"/>
  <c r="K3" i="8"/>
  <c r="I3" i="8"/>
  <c r="M3" i="8"/>
  <c r="J3" i="8"/>
  <c r="U32" i="3"/>
  <c r="J7" i="8"/>
  <c r="J5" i="8"/>
  <c r="J4" i="8"/>
  <c r="J6" i="8"/>
  <c r="G4" i="8"/>
  <c r="G6" i="8"/>
  <c r="G7" i="8"/>
  <c r="G5" i="8"/>
  <c r="K4" i="8"/>
  <c r="K5" i="8"/>
  <c r="K6" i="8"/>
  <c r="K7" i="8"/>
  <c r="L5" i="8"/>
  <c r="L4" i="8"/>
  <c r="L6" i="8"/>
  <c r="L7" i="8"/>
  <c r="Y32" i="3"/>
  <c r="X32" i="3"/>
  <c r="V32" i="3"/>
  <c r="W32" i="3"/>
  <c r="H5" i="8"/>
  <c r="H7" i="8"/>
  <c r="H6" i="8"/>
  <c r="H4" i="8"/>
  <c r="I6" i="8"/>
  <c r="I4" i="8"/>
  <c r="I7" i="8"/>
  <c r="I5" i="8"/>
  <c r="M6" i="8"/>
  <c r="M5" i="8"/>
  <c r="M7" i="8"/>
  <c r="M4" i="8"/>
  <c r="AS101" i="1"/>
  <c r="AS133" i="1"/>
  <c r="Y30" i="3" l="1"/>
  <c r="W30" i="3"/>
  <c r="V30" i="3"/>
  <c r="U30" i="3"/>
  <c r="X30" i="3"/>
  <c r="Y26" i="3"/>
  <c r="W26" i="3"/>
  <c r="U26" i="3"/>
  <c r="V26" i="3"/>
  <c r="X26" i="3"/>
  <c r="U29" i="3"/>
  <c r="X29" i="3"/>
  <c r="W29" i="3"/>
  <c r="Y29" i="3"/>
  <c r="V29" i="3"/>
  <c r="Y25" i="3"/>
  <c r="U25" i="3"/>
  <c r="X25" i="3"/>
  <c r="V25" i="3"/>
  <c r="W25" i="3"/>
  <c r="Y28" i="3"/>
  <c r="W28" i="3"/>
  <c r="X28" i="3"/>
  <c r="V28" i="3"/>
  <c r="U28" i="3"/>
  <c r="Y24" i="3"/>
  <c r="V24" i="3"/>
  <c r="U24" i="3"/>
  <c r="W24" i="3"/>
  <c r="X24" i="3"/>
  <c r="U27" i="3"/>
  <c r="X27" i="3"/>
  <c r="Y27" i="3"/>
  <c r="W27" i="3"/>
  <c r="V27" i="3"/>
  <c r="BC3" i="1" l="1"/>
  <c r="BB3" i="1"/>
  <c r="BA3" i="1"/>
  <c r="AZ3" i="1"/>
  <c r="BD3" i="1"/>
  <c r="AW3" i="1"/>
  <c r="AY3" i="1"/>
  <c r="AX3" i="1"/>
  <c r="E26" i="3"/>
  <c r="C26" i="3"/>
  <c r="E25" i="3" l="1"/>
  <c r="E24" i="3"/>
  <c r="E23" i="3"/>
  <c r="E22" i="3"/>
  <c r="C24" i="3" l="1"/>
  <c r="C25" i="3"/>
  <c r="C22" i="3"/>
  <c r="E27" i="3" l="1"/>
  <c r="AS49" i="1"/>
  <c r="AS99" i="1"/>
  <c r="AT64" i="1"/>
  <c r="AU169" i="1"/>
  <c r="AU29" i="1"/>
  <c r="AT131" i="1"/>
  <c r="AV27" i="1"/>
  <c r="AT150" i="1"/>
  <c r="AU140" i="1"/>
  <c r="AT106" i="1"/>
  <c r="AV163" i="1"/>
  <c r="AV146" i="1"/>
  <c r="AV106" i="1"/>
  <c r="AV105" i="1"/>
  <c r="AS73" i="1"/>
  <c r="AU61" i="1"/>
  <c r="AU78" i="1"/>
  <c r="AT54" i="1"/>
  <c r="AT102" i="1"/>
  <c r="AT174" i="1"/>
  <c r="AS151" i="1"/>
  <c r="AS110" i="1"/>
  <c r="AS98" i="1"/>
  <c r="AU167" i="1"/>
  <c r="AU77" i="1"/>
  <c r="AS11" i="1"/>
  <c r="AU136" i="1"/>
  <c r="AT11" i="1"/>
  <c r="AV135" i="1"/>
  <c r="AV150" i="1"/>
  <c r="AV143" i="1"/>
  <c r="AT90" i="1"/>
  <c r="AT10" i="1"/>
  <c r="AV64" i="1"/>
  <c r="AU117" i="1"/>
  <c r="AT33" i="1"/>
  <c r="AS113" i="1"/>
  <c r="AS103" i="1"/>
  <c r="AT20" i="1"/>
  <c r="AT138" i="1"/>
  <c r="AT37" i="1"/>
  <c r="AT91" i="1"/>
  <c r="AV127" i="1"/>
  <c r="AT145" i="1"/>
  <c r="AV90" i="1"/>
  <c r="AS85" i="1"/>
  <c r="AV109" i="1"/>
  <c r="AU88" i="1"/>
  <c r="AU150" i="1"/>
  <c r="AV162" i="1"/>
  <c r="AT71" i="1"/>
  <c r="AS19" i="1"/>
  <c r="AT41" i="1"/>
  <c r="AV176" i="1"/>
  <c r="AU53" i="1"/>
  <c r="AV151" i="1"/>
  <c r="AS67" i="1"/>
  <c r="AS62" i="1"/>
  <c r="AU109" i="1"/>
  <c r="AT148" i="1"/>
  <c r="AU39" i="1"/>
  <c r="AT79" i="1"/>
  <c r="AU112" i="1"/>
  <c r="AV44" i="1"/>
  <c r="AS94" i="1"/>
  <c r="AU93" i="1"/>
  <c r="AS90" i="1"/>
  <c r="AV14" i="1"/>
  <c r="AS9" i="1"/>
  <c r="AV147" i="1"/>
  <c r="AT94" i="1"/>
  <c r="AS147" i="1"/>
  <c r="AS102" i="1"/>
  <c r="AU79" i="1"/>
  <c r="AT151" i="1"/>
  <c r="AS88" i="1"/>
  <c r="AU46" i="1"/>
  <c r="AS57" i="1"/>
  <c r="AU141" i="1"/>
  <c r="AS64" i="1"/>
  <c r="AT78" i="1"/>
  <c r="AT155" i="1"/>
  <c r="AU15" i="1"/>
  <c r="AV6" i="1"/>
  <c r="AS89" i="1"/>
  <c r="AT42" i="1"/>
  <c r="AV175" i="1"/>
  <c r="AU52" i="1"/>
  <c r="AU37" i="1"/>
  <c r="AT59" i="1"/>
  <c r="AU76" i="1"/>
  <c r="AT87" i="1"/>
  <c r="AS60" i="1"/>
  <c r="AT44" i="1"/>
  <c r="AS137" i="1"/>
  <c r="AU98" i="1"/>
  <c r="AV10" i="1"/>
  <c r="AS16" i="1"/>
  <c r="AV65" i="1"/>
  <c r="AV61" i="1"/>
  <c r="AV38" i="1"/>
  <c r="AV103" i="1"/>
  <c r="AU174" i="1"/>
  <c r="AV66" i="1"/>
  <c r="AT15" i="1"/>
  <c r="AS93" i="1"/>
  <c r="AT99" i="1"/>
  <c r="AT164" i="1"/>
  <c r="AU108" i="1"/>
  <c r="AS65" i="1"/>
  <c r="AT96" i="1"/>
  <c r="AT137" i="1"/>
  <c r="AT178" i="1"/>
  <c r="AT119" i="1"/>
  <c r="AS148" i="1"/>
  <c r="AT92" i="1"/>
  <c r="AV74" i="1"/>
  <c r="AT67" i="1"/>
  <c r="AS128" i="1"/>
  <c r="AU147" i="1"/>
  <c r="AU7" i="1"/>
  <c r="AS119" i="1"/>
  <c r="AV75" i="1"/>
  <c r="AS156" i="1"/>
  <c r="AT45" i="1"/>
  <c r="AV116" i="1"/>
  <c r="AS10" i="1"/>
  <c r="AV59" i="1"/>
  <c r="AS34" i="1"/>
  <c r="AS125" i="1"/>
  <c r="AT51" i="1"/>
  <c r="AT36" i="1"/>
  <c r="AT86" i="1"/>
  <c r="AV156" i="1"/>
  <c r="AT9" i="1"/>
  <c r="AU87" i="1"/>
  <c r="AS52" i="1"/>
  <c r="AS39" i="1"/>
  <c r="AS14" i="1"/>
  <c r="AV128" i="1"/>
  <c r="AU74" i="1"/>
  <c r="AU64" i="1"/>
  <c r="AS8" i="1"/>
  <c r="AU67" i="1"/>
  <c r="AV154" i="1"/>
  <c r="AS26" i="1"/>
  <c r="AV140" i="1"/>
  <c r="AV161" i="1"/>
  <c r="AT39" i="1"/>
  <c r="AS168" i="1"/>
  <c r="AU49" i="1"/>
  <c r="AT171" i="1"/>
  <c r="AU116" i="1"/>
  <c r="AS31" i="1"/>
  <c r="AU137" i="1"/>
  <c r="AT122" i="1"/>
  <c r="AV80" i="1"/>
  <c r="AS4" i="1"/>
  <c r="AT170" i="1"/>
  <c r="AS177" i="1"/>
  <c r="AU17" i="1"/>
  <c r="AT161" i="1"/>
  <c r="AU126" i="1"/>
  <c r="AV155" i="1"/>
  <c r="AU153" i="1"/>
  <c r="AT85" i="1"/>
  <c r="AU122" i="1"/>
  <c r="AS36" i="1"/>
  <c r="AV83" i="1"/>
  <c r="AU69" i="1"/>
  <c r="AU173" i="1"/>
  <c r="AS112" i="1"/>
  <c r="AU19" i="1"/>
  <c r="AV40" i="1"/>
  <c r="AV153" i="1"/>
  <c r="AU172" i="1"/>
  <c r="AV89" i="1"/>
  <c r="AT60" i="1"/>
  <c r="AS75" i="1"/>
  <c r="AU94" i="1"/>
  <c r="AT103" i="1"/>
  <c r="AU38" i="1"/>
  <c r="AV167" i="1"/>
  <c r="AT50" i="1"/>
  <c r="AS100" i="1"/>
  <c r="AT104" i="1"/>
  <c r="AS136" i="1"/>
  <c r="AV82" i="1"/>
  <c r="AT120" i="1"/>
  <c r="AU97" i="1"/>
  <c r="AU71" i="1"/>
  <c r="AV49" i="1"/>
  <c r="AT163" i="1"/>
  <c r="AU168" i="1"/>
  <c r="AU161" i="1"/>
  <c r="AU177" i="1"/>
  <c r="AS74" i="1"/>
  <c r="AS50" i="1"/>
  <c r="AV13" i="1"/>
  <c r="AU66" i="1"/>
  <c r="AT73" i="1"/>
  <c r="AS87" i="1"/>
  <c r="AS108" i="1"/>
  <c r="AT32" i="1"/>
  <c r="AS77" i="1"/>
  <c r="AU106" i="1"/>
  <c r="AS150" i="1"/>
  <c r="AV122" i="1"/>
  <c r="AS114" i="1"/>
  <c r="AU41" i="1"/>
  <c r="AV142" i="1"/>
  <c r="AV43" i="1"/>
  <c r="AV123" i="1"/>
  <c r="AV28" i="1"/>
  <c r="AS146" i="1"/>
  <c r="AT121" i="1"/>
  <c r="AV113" i="1"/>
  <c r="AS155" i="1"/>
  <c r="AU48" i="1"/>
  <c r="AT63" i="1"/>
  <c r="AV91" i="1"/>
  <c r="AV45" i="1"/>
  <c r="AS12" i="1"/>
  <c r="AS78" i="1"/>
  <c r="AT175" i="1"/>
  <c r="AT84" i="1"/>
  <c r="AT97" i="1"/>
  <c r="AU55" i="1"/>
  <c r="AU99" i="1"/>
  <c r="AV31" i="1"/>
  <c r="AV99" i="1"/>
  <c r="AV98" i="1"/>
  <c r="AV88" i="1"/>
  <c r="AV111" i="1"/>
  <c r="AS141" i="1"/>
  <c r="AS37" i="1"/>
  <c r="AU144" i="1"/>
  <c r="AS124" i="1"/>
  <c r="AT116" i="1"/>
  <c r="AV8" i="1"/>
  <c r="AT57" i="1"/>
  <c r="AV93" i="1"/>
  <c r="AS164" i="1"/>
  <c r="AU68" i="1"/>
  <c r="AS79" i="1"/>
  <c r="AV87" i="1"/>
  <c r="AU151" i="1"/>
  <c r="AS143" i="1"/>
  <c r="AU160" i="1"/>
  <c r="AS161" i="1"/>
  <c r="AS172" i="1"/>
  <c r="AS81" i="1"/>
  <c r="AT55" i="1"/>
  <c r="AT93" i="1"/>
  <c r="AS83" i="1"/>
  <c r="AV115" i="1"/>
  <c r="AV168" i="1"/>
  <c r="AS116" i="1"/>
  <c r="AU63" i="1"/>
  <c r="AS43" i="1"/>
  <c r="AT115" i="1"/>
  <c r="AV160" i="1"/>
  <c r="AS86" i="1"/>
  <c r="AT13" i="1"/>
  <c r="AS105" i="1"/>
  <c r="AU60" i="1"/>
  <c r="AS115" i="1"/>
  <c r="AV62" i="1"/>
  <c r="AU51" i="1"/>
  <c r="AU13" i="1"/>
  <c r="AV138" i="1"/>
  <c r="AS42" i="1"/>
  <c r="AS69" i="1"/>
  <c r="AU125" i="1"/>
  <c r="AU132" i="1"/>
  <c r="AV92" i="1"/>
  <c r="AV5" i="1"/>
  <c r="AS6" i="1"/>
  <c r="AS82" i="1"/>
  <c r="AU138" i="1"/>
  <c r="AU10" i="1"/>
  <c r="AT111" i="1"/>
  <c r="AV19" i="1"/>
  <c r="AS173" i="1"/>
  <c r="AT16" i="1"/>
  <c r="AS122" i="1"/>
  <c r="AS127" i="1"/>
  <c r="AU83" i="1"/>
  <c r="AS160" i="1"/>
  <c r="AS167" i="1"/>
  <c r="AU123" i="1"/>
  <c r="AV32" i="1"/>
  <c r="AV26" i="1"/>
  <c r="AU18" i="1"/>
  <c r="AS28" i="1"/>
  <c r="AV107" i="1"/>
  <c r="AV164" i="1"/>
  <c r="AU121" i="1"/>
  <c r="AV29" i="1"/>
  <c r="AU70" i="1"/>
  <c r="AT110" i="1"/>
  <c r="AV137" i="1"/>
  <c r="AS76" i="1"/>
  <c r="AT162" i="1"/>
  <c r="AT19" i="1"/>
  <c r="AT124" i="1"/>
  <c r="AV78" i="1"/>
  <c r="AS111" i="1"/>
  <c r="AS91" i="1"/>
  <c r="AV173" i="1"/>
  <c r="AV148" i="1"/>
  <c r="AV125" i="1"/>
  <c r="AS120" i="1"/>
  <c r="AS47" i="1"/>
  <c r="AV96" i="1"/>
  <c r="AT66" i="1"/>
  <c r="AU85" i="1"/>
  <c r="AU91" i="1"/>
  <c r="AV55" i="1"/>
  <c r="AT27" i="1"/>
  <c r="AV58" i="1"/>
  <c r="AS140" i="1"/>
  <c r="AT75" i="1"/>
  <c r="AV119" i="1"/>
  <c r="AS162" i="1"/>
  <c r="AV141" i="1"/>
  <c r="AU102" i="1"/>
  <c r="AS176" i="1"/>
  <c r="AT5" i="1"/>
  <c r="AU30" i="1"/>
  <c r="AU47" i="1"/>
  <c r="AV81" i="1"/>
  <c r="AU65" i="1"/>
  <c r="AV48" i="1"/>
  <c r="AS107" i="1"/>
  <c r="AU142" i="1"/>
  <c r="AS152" i="1"/>
  <c r="AU44" i="1"/>
  <c r="AV71" i="1"/>
  <c r="AV39" i="1"/>
  <c r="AV124" i="1"/>
  <c r="AU62" i="1"/>
  <c r="AV76" i="1"/>
  <c r="AV73" i="1"/>
  <c r="AV20" i="1"/>
  <c r="AU114" i="1"/>
  <c r="AS145" i="1"/>
  <c r="AT28" i="1"/>
  <c r="AT109" i="1"/>
  <c r="AU56" i="1"/>
  <c r="AS92" i="1"/>
  <c r="AV108" i="1"/>
  <c r="AS32" i="1"/>
  <c r="AT8" i="1"/>
  <c r="AS17" i="1"/>
  <c r="AV67" i="1"/>
  <c r="AV52" i="1"/>
  <c r="AS56" i="1"/>
  <c r="AU72" i="1"/>
  <c r="AT128" i="1"/>
  <c r="AS154" i="1"/>
  <c r="AU95" i="1"/>
  <c r="AT156" i="1"/>
  <c r="AS169" i="1"/>
  <c r="AT48" i="1"/>
  <c r="AV131" i="1"/>
  <c r="AU176" i="1"/>
  <c r="AU40" i="1"/>
  <c r="AU156" i="1"/>
  <c r="AS27" i="1"/>
  <c r="AT112" i="1"/>
  <c r="AV4" i="1"/>
  <c r="AT70" i="1"/>
  <c r="AU6" i="1"/>
  <c r="AS170" i="1"/>
  <c r="AV33" i="1"/>
  <c r="AU80" i="1"/>
  <c r="AT117" i="1"/>
  <c r="AT46" i="1"/>
  <c r="AT143" i="1"/>
  <c r="AT18" i="1"/>
  <c r="AS71" i="1"/>
  <c r="AV9" i="1"/>
  <c r="AV172" i="1"/>
  <c r="AU154" i="1"/>
  <c r="AU90" i="1"/>
  <c r="AT81" i="1"/>
  <c r="AS33" i="1"/>
  <c r="AU100" i="1"/>
  <c r="AV7" i="1"/>
  <c r="AV117" i="1"/>
  <c r="AT17" i="1"/>
  <c r="AV69" i="1"/>
  <c r="AT88" i="1"/>
  <c r="AT105" i="1"/>
  <c r="AV63" i="1"/>
  <c r="AT58" i="1"/>
  <c r="AU107" i="1"/>
  <c r="AV37" i="1"/>
  <c r="AT35" i="1"/>
  <c r="AS97" i="1"/>
  <c r="AV84" i="1"/>
  <c r="AT154" i="1"/>
  <c r="AT135" i="1"/>
  <c r="AT49" i="1"/>
  <c r="AV41" i="1"/>
  <c r="AT140" i="1"/>
  <c r="AV104" i="1"/>
  <c r="AS106" i="1"/>
  <c r="AV60" i="1"/>
  <c r="AT136" i="1"/>
  <c r="AU27" i="1"/>
  <c r="AV102" i="1"/>
  <c r="AT40" i="1"/>
  <c r="AT141" i="1"/>
  <c r="AV177" i="1"/>
  <c r="AU32" i="1"/>
  <c r="AT113" i="1"/>
  <c r="AV79" i="1"/>
  <c r="AV68" i="1"/>
  <c r="AU89" i="1"/>
  <c r="AT177" i="1"/>
  <c r="AU36" i="1"/>
  <c r="AS109" i="1"/>
  <c r="AU26" i="1"/>
  <c r="AS35" i="1"/>
  <c r="AT167" i="1"/>
  <c r="AV72" i="1"/>
  <c r="AV132" i="1"/>
  <c r="AT34" i="1"/>
  <c r="AT76" i="1"/>
  <c r="AU163" i="1"/>
  <c r="AS153" i="1"/>
  <c r="AU59" i="1"/>
  <c r="AS126" i="1"/>
  <c r="AS178" i="1"/>
  <c r="AU54" i="1"/>
  <c r="AU119" i="1"/>
  <c r="AT30" i="1"/>
  <c r="AS54" i="1"/>
  <c r="AT83" i="1"/>
  <c r="AT65" i="1"/>
  <c r="AV114" i="1"/>
  <c r="AU45" i="1"/>
  <c r="AV51" i="1"/>
  <c r="AT107" i="1"/>
  <c r="AT126" i="1"/>
  <c r="AS7" i="1"/>
  <c r="AU148" i="1"/>
  <c r="AV47" i="1"/>
  <c r="AV152" i="1"/>
  <c r="AU73" i="1"/>
  <c r="AS66" i="1"/>
  <c r="AV35" i="1"/>
  <c r="AT7" i="1"/>
  <c r="AU33" i="1"/>
  <c r="AS61" i="1"/>
  <c r="AU84" i="1"/>
  <c r="AT172" i="1"/>
  <c r="AV36" i="1"/>
  <c r="AT74" i="1"/>
  <c r="AT132" i="1"/>
  <c r="AS46" i="1"/>
  <c r="AU111" i="1"/>
  <c r="AU115" i="1"/>
  <c r="AS175" i="1"/>
  <c r="AU20" i="1"/>
  <c r="AT98" i="1"/>
  <c r="AU81" i="1"/>
  <c r="AT152" i="1"/>
  <c r="AU9" i="1"/>
  <c r="AS95" i="1"/>
  <c r="AV54" i="1"/>
  <c r="AV85" i="1"/>
  <c r="AT95" i="1"/>
  <c r="AT125" i="1"/>
  <c r="AU14" i="1"/>
  <c r="AV171" i="1"/>
  <c r="AU12" i="1"/>
  <c r="AV170" i="1"/>
  <c r="AT38" i="1"/>
  <c r="AU4" i="1"/>
  <c r="AV42" i="1"/>
  <c r="AT80" i="1"/>
  <c r="AV12" i="1"/>
  <c r="AT6" i="1"/>
  <c r="AT89" i="1"/>
  <c r="AU120" i="1"/>
  <c r="AV18" i="1"/>
  <c r="AV46" i="1"/>
  <c r="AS55" i="1"/>
  <c r="AT127" i="1"/>
  <c r="AS5" i="1"/>
  <c r="AT160" i="1"/>
  <c r="AT47" i="1"/>
  <c r="AS131" i="1"/>
  <c r="AT52" i="1"/>
  <c r="AT142" i="1"/>
  <c r="AV56" i="1"/>
  <c r="AS132" i="1"/>
  <c r="AU43" i="1"/>
  <c r="AS63" i="1"/>
  <c r="AV17" i="1"/>
  <c r="AS135" i="1"/>
  <c r="AT123" i="1"/>
  <c r="AU16" i="1"/>
  <c r="AU127" i="1"/>
  <c r="AT56" i="1"/>
  <c r="AV57" i="1"/>
  <c r="AT176" i="1"/>
  <c r="AS13" i="1"/>
  <c r="AT147" i="1"/>
  <c r="AV53" i="1"/>
  <c r="AS72" i="1"/>
  <c r="AT53" i="1"/>
  <c r="AU92" i="1"/>
  <c r="AU103" i="1"/>
  <c r="AS163" i="1"/>
  <c r="AU113" i="1"/>
  <c r="AU152" i="1"/>
  <c r="AT4" i="1"/>
  <c r="AU57" i="1"/>
  <c r="AT61" i="1"/>
  <c r="AU82" i="1"/>
  <c r="AV121" i="1"/>
  <c r="AV174" i="1"/>
  <c r="AU162" i="1"/>
  <c r="AV136" i="1"/>
  <c r="AV169" i="1"/>
  <c r="AT168" i="1"/>
  <c r="AU146" i="1"/>
  <c r="AV86" i="1"/>
  <c r="AV11" i="1"/>
  <c r="AS80" i="1"/>
  <c r="AV126" i="1"/>
  <c r="AS68" i="1"/>
  <c r="AU5" i="1"/>
  <c r="AT108" i="1"/>
  <c r="AU58" i="1"/>
  <c r="AS38" i="1"/>
  <c r="AS20" i="1"/>
  <c r="AT114" i="1"/>
  <c r="AT72" i="1"/>
  <c r="AS171" i="1"/>
  <c r="AS48" i="1"/>
  <c r="AS117" i="1"/>
  <c r="AU86" i="1"/>
  <c r="AS30" i="1"/>
  <c r="AS41" i="1"/>
  <c r="AU104" i="1"/>
  <c r="AU42" i="1"/>
  <c r="AS84" i="1"/>
  <c r="AU135" i="1"/>
  <c r="AS45" i="1"/>
  <c r="AU131" i="1"/>
  <c r="AS15" i="1"/>
  <c r="AT14" i="1"/>
  <c r="AV144" i="1"/>
  <c r="AV120" i="1"/>
  <c r="AV77" i="1"/>
  <c r="AS121" i="1"/>
  <c r="AT77" i="1"/>
  <c r="AS96" i="1"/>
  <c r="AV97" i="1"/>
  <c r="AS59" i="1"/>
  <c r="AS51" i="1"/>
  <c r="AT68" i="1"/>
  <c r="AS104" i="1"/>
  <c r="AU164" i="1"/>
  <c r="AT82" i="1"/>
  <c r="AV112" i="1"/>
  <c r="AS123" i="1"/>
  <c r="AS29" i="1"/>
  <c r="AT173" i="1"/>
  <c r="AU110" i="1"/>
  <c r="AU35" i="1"/>
  <c r="AV95" i="1"/>
  <c r="AT62" i="1"/>
  <c r="AS142" i="1"/>
  <c r="AV30" i="1"/>
  <c r="AU11" i="1"/>
  <c r="AV50" i="1"/>
  <c r="AT144" i="1"/>
  <c r="AU128" i="1"/>
  <c r="AV15" i="1"/>
  <c r="AT100" i="1"/>
  <c r="AU75" i="1"/>
  <c r="AS70" i="1"/>
  <c r="AU170" i="1"/>
  <c r="AT43" i="1"/>
  <c r="AU155" i="1"/>
  <c r="AV94" i="1"/>
  <c r="AT29" i="1"/>
  <c r="AU178" i="1"/>
  <c r="AU8" i="1"/>
  <c r="AU28" i="1"/>
  <c r="AV70" i="1"/>
  <c r="AT12" i="1"/>
  <c r="AU175" i="1"/>
  <c r="AU50" i="1"/>
  <c r="AV16" i="1"/>
  <c r="AT146" i="1"/>
  <c r="AS138" i="1"/>
  <c r="AU96" i="1"/>
  <c r="AU124" i="1"/>
  <c r="AU34" i="1"/>
  <c r="AV178" i="1"/>
  <c r="AT31" i="1"/>
  <c r="AT69" i="1"/>
  <c r="AS144" i="1"/>
  <c r="AS18" i="1"/>
  <c r="AV100" i="1"/>
  <c r="AU145" i="1"/>
  <c r="AU105" i="1"/>
  <c r="AS53" i="1"/>
  <c r="AV145" i="1"/>
  <c r="AU171" i="1"/>
  <c r="AV110" i="1"/>
  <c r="AT153" i="1"/>
  <c r="AS174" i="1"/>
  <c r="AT26" i="1"/>
  <c r="AU31" i="1"/>
  <c r="AT169" i="1"/>
  <c r="AV34" i="1"/>
  <c r="AU143" i="1"/>
  <c r="AS44" i="1"/>
  <c r="AS58" i="1"/>
  <c r="AS40" i="1"/>
  <c r="E5" i="8" l="1"/>
  <c r="W35" i="3" s="1"/>
  <c r="E3" i="8"/>
  <c r="E6" i="8"/>
  <c r="X35" i="3" s="1"/>
  <c r="E4" i="8"/>
  <c r="V35" i="3" s="1"/>
  <c r="E7" i="8"/>
  <c r="Y35" i="3" s="1"/>
  <c r="C5" i="8"/>
  <c r="W33" i="3" s="1"/>
  <c r="C3" i="8"/>
  <c r="C7" i="8"/>
  <c r="Y33" i="3" s="1"/>
  <c r="C4" i="8"/>
  <c r="V33" i="3" s="1"/>
  <c r="C6" i="8"/>
  <c r="X33" i="3" s="1"/>
  <c r="D6" i="8"/>
  <c r="X34" i="3" s="1"/>
  <c r="D4" i="8"/>
  <c r="V34" i="3" s="1"/>
  <c r="D5" i="8"/>
  <c r="W34" i="3" s="1"/>
  <c r="D7" i="8"/>
  <c r="Y34" i="3" s="1"/>
  <c r="D3" i="8"/>
  <c r="F3" i="8"/>
  <c r="F6" i="8"/>
  <c r="X36" i="3" s="1"/>
  <c r="F5" i="8"/>
  <c r="W36" i="3" s="1"/>
  <c r="F4" i="8"/>
  <c r="V36" i="3" s="1"/>
  <c r="F7" i="8"/>
  <c r="Y36" i="3" s="1"/>
  <c r="U34" i="3" l="1"/>
  <c r="AT3" i="1"/>
  <c r="U33" i="3"/>
  <c r="AS3" i="1"/>
  <c r="AU3" i="1"/>
  <c r="U35" i="3"/>
  <c r="AV3" i="1"/>
  <c r="U3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BRONSIN - P758487</author>
  </authors>
  <commentList>
    <comment ref="B3" authorId="0" shapeId="0" xr:uid="{00000000-0006-0000-0200-000001000000}">
      <text>
        <r>
          <rPr>
            <b/>
            <sz val="8"/>
            <color indexed="81"/>
            <rFont val="Tahoma"/>
            <family val="2"/>
          </rPr>
          <t>Unique reference of the requirement. This reference will not change, even if the title changes.</t>
        </r>
      </text>
    </comment>
    <comment ref="C3" authorId="0" shapeId="0" xr:uid="{00000000-0006-0000-0200-000002000000}">
      <text>
        <r>
          <rPr>
            <b/>
            <sz val="8"/>
            <color indexed="81"/>
            <rFont val="Tahoma"/>
            <family val="2"/>
          </rPr>
          <t>Short description of the requirement. Click on it to show more details.</t>
        </r>
      </text>
    </comment>
    <comment ref="D3" authorId="0" shapeId="0" xr:uid="{00000000-0006-0000-0200-000003000000}">
      <text>
        <r>
          <rPr>
            <b/>
            <sz val="8"/>
            <color indexed="81"/>
            <rFont val="Tahoma"/>
            <family val="2"/>
          </rPr>
          <t>Contains, if needed, cases where the requirement is not relevant or automatically implemented.</t>
        </r>
      </text>
    </comment>
    <comment ref="E3" authorId="0" shapeId="0" xr:uid="{00000000-0006-0000-0200-000004000000}">
      <text>
        <r>
          <rPr>
            <b/>
            <sz val="8"/>
            <color indexed="81"/>
            <rFont val="Tahoma"/>
            <family val="2"/>
          </rPr>
          <t>Some details about the requirement to give a quick understanding.</t>
        </r>
      </text>
    </comment>
    <comment ref="F3" authorId="0" shapeId="0" xr:uid="{00000000-0006-0000-0200-000005000000}">
      <text>
        <r>
          <rPr>
            <b/>
            <sz val="8"/>
            <color indexed="81"/>
            <rFont val="Tahoma"/>
            <family val="2"/>
          </rPr>
          <t>List of deliverables which must contain information needed to implement the requirement.</t>
        </r>
      </text>
    </comment>
    <comment ref="G3" authorId="0" shapeId="0" xr:uid="{00000000-0006-0000-0200-000006000000}">
      <text>
        <r>
          <rPr>
            <b/>
            <sz val="8"/>
            <color indexed="81"/>
            <rFont val="Tahoma"/>
            <family val="2"/>
          </rPr>
          <t>Documents containing the check proof, or the role to ask for the requirement implementation confirmation.</t>
        </r>
      </text>
    </comment>
    <comment ref="H3" authorId="0" shapeId="0" xr:uid="{00000000-0006-0000-0200-000007000000}">
      <text>
        <r>
          <rPr>
            <b/>
            <sz val="8"/>
            <color indexed="81"/>
            <rFont val="Tahoma"/>
            <family val="2"/>
          </rPr>
          <t xml:space="preserve">Result of the filter. All relevant requirements must be implemented (except if there is a dispensation). </t>
        </r>
      </text>
    </comment>
    <comment ref="I3" authorId="0" shapeId="0" xr:uid="{00000000-0006-0000-0200-000008000000}">
      <text>
        <r>
          <rPr>
            <b/>
            <sz val="8"/>
            <color indexed="81"/>
            <rFont val="Tahoma"/>
            <family val="2"/>
          </rPr>
          <t>Indicates the work's advancement on the requirement.</t>
        </r>
      </text>
    </comment>
    <comment ref="J3" authorId="0" shapeId="0" xr:uid="{00000000-0006-0000-0200-000009000000}">
      <text>
        <r>
          <rPr>
            <b/>
            <sz val="8"/>
            <color indexed="81"/>
            <rFont val="Tahoma"/>
            <family val="2"/>
          </rPr>
          <t>Date of the last status change.</t>
        </r>
      </text>
    </comment>
    <comment ref="K3" authorId="0" shapeId="0" xr:uid="{00000000-0006-0000-0200-00000A000000}">
      <text>
        <r>
          <rPr>
            <b/>
            <sz val="8"/>
            <color indexed="81"/>
            <rFont val="Tahoma"/>
            <family val="2"/>
          </rPr>
          <t xml:space="preserve">Date of the last control of the requirement's implementation.
</t>
        </r>
      </text>
    </comment>
    <comment ref="L3" authorId="0" shapeId="0" xr:uid="{00000000-0006-0000-0200-00000B000000}">
      <text>
        <r>
          <rPr>
            <b/>
            <sz val="8"/>
            <color indexed="81"/>
            <rFont val="Tahoma"/>
            <family val="2"/>
          </rPr>
          <t>Comments are mandatory when a status is set to "Not relevant" or "Not feasable".
Valorisation is useful when specific data must be associated to a requirement, like range of maintenance for example.</t>
        </r>
      </text>
    </comment>
    <comment ref="M3" authorId="0" shapeId="0" xr:uid="{00000000-0006-0000-0200-00000C000000}">
      <text>
        <r>
          <rPr>
            <b/>
            <sz val="8"/>
            <color indexed="81"/>
            <rFont val="Tahoma"/>
            <family val="2"/>
          </rPr>
          <t>Do not participate necessarily in the implementation of the requirement, but has to ensure it is implemented and verified.</t>
        </r>
      </text>
    </comment>
    <comment ref="N3" authorId="0" shapeId="0" xr:uid="{00000000-0006-0000-0200-00000D000000}">
      <text>
        <r>
          <rPr>
            <b/>
            <sz val="8"/>
            <color indexed="81"/>
            <rFont val="Tahoma"/>
            <family val="2"/>
          </rPr>
          <t>Has actions to do to implement the requirement.</t>
        </r>
      </text>
    </comment>
    <comment ref="O3" authorId="0" shapeId="0" xr:uid="{00000000-0006-0000-0200-00000E000000}">
      <text>
        <r>
          <rPr>
            <b/>
            <sz val="8"/>
            <color indexed="81"/>
            <rFont val="Tahoma"/>
            <family val="2"/>
          </rPr>
          <t>Complete or simplified V cycle milestone where the requirement must be implemented.</t>
        </r>
      </text>
    </comment>
    <comment ref="P3" authorId="0" shapeId="0" xr:uid="{00000000-0006-0000-0200-00000F000000}">
      <text>
        <r>
          <rPr>
            <b/>
            <sz val="8"/>
            <color indexed="81"/>
            <rFont val="Tahoma"/>
            <family val="2"/>
          </rPr>
          <t>Complete or simplified V cycle milestone where the requirement must be verified.</t>
        </r>
      </text>
    </comment>
    <comment ref="Q3" authorId="0" shapeId="0" xr:uid="{00000000-0006-0000-0200-000010000000}">
      <text>
        <r>
          <rPr>
            <b/>
            <sz val="8"/>
            <color indexed="81"/>
            <rFont val="Tahoma"/>
            <family val="2"/>
          </rPr>
          <t>Do not participate necessarily in the implementation of the requirement, but has to ensure it is implemented and verified.</t>
        </r>
      </text>
    </comment>
    <comment ref="R3" authorId="0" shapeId="0" xr:uid="{00000000-0006-0000-0200-000011000000}">
      <text>
        <r>
          <rPr>
            <b/>
            <sz val="8"/>
            <color indexed="81"/>
            <rFont val="Tahoma"/>
            <family val="2"/>
          </rPr>
          <t>Has actions to do to implement the requirement.</t>
        </r>
      </text>
    </comment>
    <comment ref="S3" authorId="0" shapeId="0" xr:uid="{00000000-0006-0000-0200-000012000000}">
      <text>
        <r>
          <rPr>
            <b/>
            <sz val="8"/>
            <color indexed="81"/>
            <rFont val="Tahoma"/>
            <family val="2"/>
          </rPr>
          <t>Indicate events which can trigger an action about this requirement.</t>
        </r>
      </text>
    </comment>
    <comment ref="T3" authorId="0" shapeId="0" xr:uid="{00000000-0006-0000-0200-000013000000}">
      <text>
        <r>
          <rPr>
            <b/>
            <sz val="8"/>
            <color indexed="81"/>
            <rFont val="Tahoma"/>
            <family val="2"/>
          </rPr>
          <t>Indicate maximum time between actions about this requirement.</t>
        </r>
      </text>
    </comment>
    <comment ref="C4" authorId="0" shapeId="0" xr:uid="{00000000-0006-0000-0200-000014000000}">
      <text>
        <r>
          <rPr>
            <b/>
            <u/>
            <sz val="9"/>
            <color indexed="81"/>
            <rFont val="Tahoma"/>
            <family val="2"/>
          </rPr>
          <t>Definition:</t>
        </r>
        <r>
          <rPr>
            <b/>
            <sz val="9"/>
            <color indexed="81"/>
            <rFont val="Tahoma"/>
            <family val="2"/>
          </rPr>
          <t xml:space="preserve">
</t>
        </r>
        <r>
          <rPr>
            <sz val="9"/>
            <color indexed="81"/>
            <rFont val="Tahoma"/>
            <family val="2"/>
          </rPr>
          <t>Degree to which a product or system provides
functions that meet stated and implied needs
when used under specified conditions.</t>
        </r>
      </text>
    </comment>
    <comment ref="C5" authorId="0" shapeId="0" xr:uid="{00000000-0006-0000-0200-000015000000}">
      <text>
        <r>
          <rPr>
            <b/>
            <u/>
            <sz val="9"/>
            <color indexed="81"/>
            <rFont val="Tahoma"/>
            <family val="2"/>
          </rPr>
          <t xml:space="preserve">Definition:
</t>
        </r>
        <r>
          <rPr>
            <sz val="9"/>
            <color indexed="81"/>
            <rFont val="Tahoma"/>
            <family val="2"/>
          </rPr>
          <t>Degree to which the set of functions covers all the
specified tasks and user objectives.</t>
        </r>
        <r>
          <rPr>
            <b/>
            <sz val="9"/>
            <color indexed="81"/>
            <rFont val="Tahoma"/>
            <family val="2"/>
          </rPr>
          <t xml:space="preserve">
</t>
        </r>
        <r>
          <rPr>
            <b/>
            <u/>
            <sz val="9"/>
            <color indexed="81"/>
            <rFont val="Tahoma"/>
            <family val="2"/>
          </rPr>
          <t xml:space="preserve">Note or Example Metric:
</t>
        </r>
        <r>
          <rPr>
            <sz val="9"/>
            <color indexed="81"/>
            <rFont val="Tahoma"/>
            <family val="2"/>
          </rPr>
          <t>The % of desired functionality present in the product.</t>
        </r>
      </text>
    </comment>
    <comment ref="C7" authorId="0" shapeId="0" xr:uid="{00000000-0006-0000-0200-000016000000}">
      <text>
        <r>
          <rPr>
            <b/>
            <u/>
            <sz val="9"/>
            <color indexed="81"/>
            <rFont val="Tahoma"/>
            <family val="2"/>
          </rPr>
          <t>Definition:</t>
        </r>
        <r>
          <rPr>
            <sz val="9"/>
            <color indexed="81"/>
            <rFont val="Tahoma"/>
            <family val="2"/>
          </rPr>
          <t xml:space="preserve">
Degree to which a product or system provides the
correct results with the needed degree of precision.
</t>
        </r>
        <r>
          <rPr>
            <b/>
            <sz val="9"/>
            <color indexed="81"/>
            <rFont val="Tahoma"/>
            <family val="2"/>
          </rPr>
          <t xml:space="preserve">
</t>
        </r>
        <r>
          <rPr>
            <b/>
            <u/>
            <sz val="9"/>
            <color indexed="81"/>
            <rFont val="Tahoma"/>
            <family val="2"/>
          </rPr>
          <t>Note or Example Metric:</t>
        </r>
        <r>
          <rPr>
            <sz val="9"/>
            <color indexed="81"/>
            <rFont val="Tahoma"/>
            <family val="2"/>
          </rPr>
          <t xml:space="preserve">
The ratio of incorrect to total of processed
transactions; integrity of information processed.</t>
        </r>
      </text>
    </comment>
    <comment ref="C12" authorId="0" shapeId="0" xr:uid="{00000000-0006-0000-0200-000017000000}">
      <text>
        <r>
          <rPr>
            <b/>
            <u/>
            <sz val="9"/>
            <color indexed="81"/>
            <rFont val="Tahoma"/>
            <family val="2"/>
          </rPr>
          <t>Definition:</t>
        </r>
        <r>
          <rPr>
            <sz val="9"/>
            <color indexed="81"/>
            <rFont val="Tahoma"/>
            <family val="2"/>
          </rPr>
          <t xml:space="preserve">
Degree to which the functions facilitate the
accomplishment of specified tasks and objectives.
</t>
        </r>
        <r>
          <rPr>
            <b/>
            <sz val="9"/>
            <color indexed="81"/>
            <rFont val="Tahoma"/>
            <family val="2"/>
          </rPr>
          <t xml:space="preserve">
</t>
        </r>
        <r>
          <rPr>
            <b/>
            <u/>
            <sz val="9"/>
            <color indexed="81"/>
            <rFont val="Tahoma"/>
            <family val="2"/>
          </rPr>
          <t>Note or Example Metric:</t>
        </r>
        <r>
          <rPr>
            <sz val="9"/>
            <color indexed="81"/>
            <rFont val="Tahoma"/>
            <family val="2"/>
          </rPr>
          <t xml:space="preserve">
Does not expose the user to unnecessary steps,
functions or information.</t>
        </r>
      </text>
    </comment>
    <comment ref="C13" authorId="0" shapeId="0" xr:uid="{00000000-0006-0000-0200-000018000000}">
      <text>
        <r>
          <rPr>
            <b/>
            <u/>
            <sz val="9"/>
            <color indexed="81"/>
            <rFont val="Tahoma"/>
            <family val="2"/>
          </rPr>
          <t>Definition:</t>
        </r>
        <r>
          <rPr>
            <sz val="9"/>
            <color indexed="81"/>
            <rFont val="Tahoma"/>
            <family val="2"/>
          </rPr>
          <t xml:space="preserve">
Respect of regulations, laws, …
</t>
        </r>
        <r>
          <rPr>
            <b/>
            <sz val="9"/>
            <color indexed="81"/>
            <rFont val="Tahoma"/>
            <family val="2"/>
          </rPr>
          <t xml:space="preserve">
</t>
        </r>
        <r>
          <rPr>
            <b/>
            <u/>
            <sz val="9"/>
            <color indexed="81"/>
            <rFont val="Tahoma"/>
            <family val="2"/>
          </rPr>
          <t>Note or Example Metric:</t>
        </r>
        <r>
          <rPr>
            <sz val="9"/>
            <color indexed="81"/>
            <rFont val="Tahoma"/>
            <family val="2"/>
          </rPr>
          <t xml:space="preserve">
GDPR, ...</t>
        </r>
      </text>
    </comment>
    <comment ref="C26" authorId="0" shapeId="0" xr:uid="{00000000-0006-0000-0200-000019000000}">
      <text>
        <r>
          <rPr>
            <b/>
            <u/>
            <sz val="9"/>
            <color indexed="81"/>
            <rFont val="Tahoma"/>
            <family val="2"/>
          </rPr>
          <t>Definition:</t>
        </r>
        <r>
          <rPr>
            <b/>
            <sz val="9"/>
            <color indexed="81"/>
            <rFont val="Tahoma"/>
            <family val="2"/>
          </rPr>
          <t xml:space="preserve">
</t>
        </r>
        <r>
          <rPr>
            <sz val="9"/>
            <color indexed="81"/>
            <rFont val="Tahoma"/>
            <family val="2"/>
          </rPr>
          <t>Performance relative to the amount of resources
used under stated conditions.</t>
        </r>
      </text>
    </comment>
    <comment ref="C27" authorId="0" shapeId="0" xr:uid="{00000000-0006-0000-0200-00001A000000}">
      <text>
        <r>
          <rPr>
            <b/>
            <u/>
            <sz val="9"/>
            <color indexed="81"/>
            <rFont val="Tahoma"/>
            <family val="2"/>
          </rPr>
          <t>Definition:</t>
        </r>
        <r>
          <rPr>
            <b/>
            <sz val="9"/>
            <color indexed="81"/>
            <rFont val="Tahoma"/>
            <family val="2"/>
          </rPr>
          <t xml:space="preserve">
</t>
        </r>
        <r>
          <rPr>
            <sz val="9"/>
            <color indexed="81"/>
            <rFont val="Tahoma"/>
            <family val="2"/>
          </rPr>
          <t>Degree to which the response and processing times
and throughput rates of a product or system, when
performing its functions, meet requirements</t>
        </r>
        <r>
          <rPr>
            <b/>
            <sz val="9"/>
            <color indexed="81"/>
            <rFont val="Tahoma"/>
            <family val="2"/>
          </rPr>
          <t xml:space="preserve">.
</t>
        </r>
        <r>
          <rPr>
            <b/>
            <u/>
            <sz val="9"/>
            <color indexed="81"/>
            <rFont val="Tahoma"/>
            <family val="2"/>
          </rPr>
          <t>Note or Example Metric:</t>
        </r>
        <r>
          <rPr>
            <sz val="9"/>
            <color indexed="81"/>
            <rFont val="Tahoma"/>
            <family val="2"/>
          </rPr>
          <t xml:space="preserve">
Throughput; response time; application load time;
screen open/refresh time; calculation time;
import/export time; report/query time.</t>
        </r>
      </text>
    </comment>
    <comment ref="C30" authorId="0" shapeId="0" xr:uid="{00000000-0006-0000-0200-00001B000000}">
      <text>
        <r>
          <rPr>
            <b/>
            <u/>
            <sz val="9"/>
            <color indexed="81"/>
            <rFont val="Tahoma"/>
            <family val="2"/>
          </rPr>
          <t xml:space="preserve">Definition:
</t>
        </r>
        <r>
          <rPr>
            <sz val="9"/>
            <color indexed="81"/>
            <rFont val="Tahoma"/>
            <family val="2"/>
          </rPr>
          <t>Degree to which the amounts and types of resources
used by a product or system, when performing its
functions, meet requirements.</t>
        </r>
        <r>
          <rPr>
            <b/>
            <sz val="9"/>
            <color indexed="81"/>
            <rFont val="Tahoma"/>
            <family val="2"/>
          </rPr>
          <t xml:space="preserve">
</t>
        </r>
        <r>
          <rPr>
            <b/>
            <u/>
            <sz val="9"/>
            <color indexed="81"/>
            <rFont val="Tahoma"/>
            <family val="2"/>
          </rPr>
          <t>Note or Example Metric:</t>
        </r>
        <r>
          <rPr>
            <sz val="9"/>
            <color indexed="81"/>
            <rFont val="Tahoma"/>
            <family val="2"/>
          </rPr>
          <t xml:space="preserve">
Bandwidth, CPU utilization, memory usage, storage.</t>
        </r>
      </text>
    </comment>
    <comment ref="C35" authorId="0" shapeId="0" xr:uid="{00000000-0006-0000-0200-00001C000000}">
      <text>
        <r>
          <rPr>
            <b/>
            <u/>
            <sz val="9"/>
            <color indexed="81"/>
            <rFont val="Tahoma"/>
            <family val="2"/>
          </rPr>
          <t>Definition:</t>
        </r>
        <r>
          <rPr>
            <sz val="9"/>
            <color indexed="81"/>
            <rFont val="Tahoma"/>
            <family val="2"/>
          </rPr>
          <t xml:space="preserve">
Degree to which the maximum limits of a product or
system parameter meet requirements.</t>
        </r>
        <r>
          <rPr>
            <b/>
            <sz val="9"/>
            <color indexed="81"/>
            <rFont val="Tahoma"/>
            <family val="2"/>
          </rPr>
          <t xml:space="preserve">
</t>
        </r>
        <r>
          <rPr>
            <b/>
            <u/>
            <sz val="9"/>
            <color indexed="81"/>
            <rFont val="Tahoma"/>
            <family val="2"/>
          </rPr>
          <t>Note or Example Metric:</t>
        </r>
        <r>
          <rPr>
            <sz val="9"/>
            <color indexed="81"/>
            <rFont val="Tahoma"/>
            <family val="2"/>
          </rPr>
          <t xml:space="preserve">
Refers to initial planned capacity, not scalability to
future levels; transactions per unit time; maximum
database/file size; maximum number of users/connections.</t>
        </r>
      </text>
    </comment>
    <comment ref="C38" authorId="0" shapeId="0" xr:uid="{00000000-0006-0000-0200-00001D000000}">
      <text>
        <r>
          <rPr>
            <b/>
            <u/>
            <sz val="9"/>
            <color indexed="81"/>
            <rFont val="Tahoma"/>
            <family val="2"/>
          </rPr>
          <t>Definition:</t>
        </r>
        <r>
          <rPr>
            <sz val="9"/>
            <color indexed="81"/>
            <rFont val="Tahoma"/>
            <family val="2"/>
          </rPr>
          <t xml:space="preserve">
Degree to which a product, system or component
can exchange information with other products,
systems or components, and/or perform its required
functions, while sharing the same hardware or
software environment.</t>
        </r>
      </text>
    </comment>
    <comment ref="C39" authorId="0" shapeId="0" xr:uid="{00000000-0006-0000-0200-00001E000000}">
      <text>
        <r>
          <rPr>
            <b/>
            <u/>
            <sz val="9"/>
            <color indexed="81"/>
            <rFont val="Tahoma"/>
            <family val="2"/>
          </rPr>
          <t>Definition:</t>
        </r>
        <r>
          <rPr>
            <sz val="9"/>
            <color indexed="81"/>
            <rFont val="Tahoma"/>
            <family val="2"/>
          </rPr>
          <t xml:space="preserve">
degree to which a product can perform its required
functions efficiently while sharing a common
environment and resources with other products,
without detrimental impact on any other product.
</t>
        </r>
        <r>
          <rPr>
            <b/>
            <sz val="9"/>
            <color indexed="81"/>
            <rFont val="Tahoma"/>
            <family val="2"/>
          </rPr>
          <t xml:space="preserve">
</t>
        </r>
        <r>
          <rPr>
            <b/>
            <u/>
            <sz val="9"/>
            <color indexed="81"/>
            <rFont val="Tahoma"/>
            <family val="2"/>
          </rPr>
          <t>Note or Example Metric:</t>
        </r>
        <r>
          <rPr>
            <sz val="9"/>
            <color indexed="81"/>
            <rFont val="Tahoma"/>
            <family val="2"/>
          </rPr>
          <t xml:space="preserve">
Alignment to technical standards; product certification;
awarness of resource contention
(avoid direct hardware access).</t>
        </r>
      </text>
    </comment>
    <comment ref="C42" authorId="0" shapeId="0" xr:uid="{00000000-0006-0000-0200-00001F000000}">
      <text>
        <r>
          <rPr>
            <b/>
            <u/>
            <sz val="9"/>
            <color indexed="81"/>
            <rFont val="Tahoma"/>
            <family val="2"/>
          </rPr>
          <t>Definition:</t>
        </r>
        <r>
          <rPr>
            <sz val="9"/>
            <color indexed="81"/>
            <rFont val="Tahoma"/>
            <family val="2"/>
          </rPr>
          <t xml:space="preserve">
degree to which two or more systems, products or
components can exchange information and use the
information that has been exchanged.
</t>
        </r>
        <r>
          <rPr>
            <b/>
            <sz val="9"/>
            <color indexed="81"/>
            <rFont val="Tahoma"/>
            <family val="2"/>
          </rPr>
          <t xml:space="preserve">
</t>
        </r>
        <r>
          <rPr>
            <b/>
            <u/>
            <sz val="9"/>
            <color indexed="81"/>
            <rFont val="Tahoma"/>
            <family val="2"/>
          </rPr>
          <t>Note or Example Metric:</t>
        </r>
        <r>
          <rPr>
            <sz val="9"/>
            <color indexed="81"/>
            <rFont val="Tahoma"/>
            <family val="2"/>
          </rPr>
          <t xml:space="preserve">
Alignment to communication, integration, and
information standards.</t>
        </r>
      </text>
    </comment>
    <comment ref="C45" authorId="0" shapeId="0" xr:uid="{00000000-0006-0000-0200-000020000000}">
      <text>
        <r>
          <rPr>
            <b/>
            <u/>
            <sz val="9"/>
            <color indexed="81"/>
            <rFont val="Tahoma"/>
            <family val="2"/>
          </rPr>
          <t>Definition:</t>
        </r>
        <r>
          <rPr>
            <sz val="9"/>
            <color indexed="81"/>
            <rFont val="Tahoma"/>
            <family val="2"/>
          </rPr>
          <t xml:space="preserve">
Degree to which a product or system can be used
by specified users to achieve specified goals with
effectiveness, efficiency and satisfaction in a specified
context of use.</t>
        </r>
      </text>
    </comment>
    <comment ref="C46" authorId="0" shapeId="0" xr:uid="{00000000-0006-0000-0200-000021000000}">
      <text>
        <r>
          <rPr>
            <b/>
            <u/>
            <sz val="9"/>
            <color indexed="81"/>
            <rFont val="Tahoma"/>
            <family val="2"/>
          </rPr>
          <t>Definition:</t>
        </r>
        <r>
          <rPr>
            <sz val="9"/>
            <color indexed="81"/>
            <rFont val="Tahoma"/>
            <family val="2"/>
          </rPr>
          <t xml:space="preserve">
Degree to which users can recognize whether a
product or system is appropriate for their needs.
</t>
        </r>
        <r>
          <rPr>
            <b/>
            <sz val="9"/>
            <color indexed="81"/>
            <rFont val="Tahoma"/>
            <family val="2"/>
          </rPr>
          <t xml:space="preserve">
</t>
        </r>
        <r>
          <rPr>
            <b/>
            <u/>
            <sz val="9"/>
            <color indexed="81"/>
            <rFont val="Tahoma"/>
            <family val="2"/>
          </rPr>
          <t>Note or Example Metric:</t>
        </r>
        <r>
          <rPr>
            <sz val="9"/>
            <color indexed="81"/>
            <rFont val="Tahoma"/>
            <family val="2"/>
          </rPr>
          <t xml:space="preserve">
From initial impressions, demos tutorials, docs, etc.</t>
        </r>
      </text>
    </comment>
    <comment ref="C48" authorId="0" shapeId="0" xr:uid="{00000000-0006-0000-0200-000022000000}">
      <text>
        <r>
          <rPr>
            <b/>
            <u/>
            <sz val="9"/>
            <color indexed="81"/>
            <rFont val="Tahoma"/>
            <family val="2"/>
          </rPr>
          <t>Definition:</t>
        </r>
        <r>
          <rPr>
            <sz val="9"/>
            <color indexed="81"/>
            <rFont val="Tahoma"/>
            <family val="2"/>
          </rPr>
          <t xml:space="preserve">
Degree to which a product or system can be used
by specified users to achieve specified goals of
learning to use the product or system with
effectiveness, efficiency, freedom from risk and
satisfaction in a specified context of use.
</t>
        </r>
        <r>
          <rPr>
            <b/>
            <sz val="9"/>
            <color indexed="81"/>
            <rFont val="Tahoma"/>
            <family val="2"/>
          </rPr>
          <t xml:space="preserve">
</t>
        </r>
        <r>
          <rPr>
            <b/>
            <u/>
            <sz val="9"/>
            <color indexed="81"/>
            <rFont val="Tahoma"/>
            <family val="2"/>
          </rPr>
          <t>Note or Example Metric:</t>
        </r>
        <r>
          <rPr>
            <sz val="9"/>
            <color indexed="81"/>
            <rFont val="Tahoma"/>
            <family val="2"/>
          </rPr>
          <t xml:space="preserve">
The time to learn to use the solution at a practical
working level to get routine tasks done.</t>
        </r>
      </text>
    </comment>
    <comment ref="C49" authorId="0" shapeId="0" xr:uid="{00000000-0006-0000-0200-000023000000}">
      <text>
        <r>
          <rPr>
            <b/>
            <u/>
            <sz val="9"/>
            <color indexed="81"/>
            <rFont val="Tahoma"/>
            <family val="2"/>
          </rPr>
          <t>Definition:</t>
        </r>
        <r>
          <rPr>
            <sz val="9"/>
            <color indexed="81"/>
            <rFont val="Tahoma"/>
            <family val="2"/>
          </rPr>
          <t xml:space="preserve">
Degree to which a product or system has attributes
that make it easy to operate and control.
</t>
        </r>
        <r>
          <rPr>
            <b/>
            <sz val="9"/>
            <color indexed="81"/>
            <rFont val="Tahoma"/>
            <family val="2"/>
          </rPr>
          <t xml:space="preserve">
</t>
        </r>
        <r>
          <rPr>
            <b/>
            <u/>
            <sz val="9"/>
            <color indexed="81"/>
            <rFont val="Tahoma"/>
            <family val="2"/>
          </rPr>
          <t>Note or Example Metric:</t>
        </r>
        <r>
          <rPr>
            <sz val="9"/>
            <color indexed="81"/>
            <rFont val="Tahoma"/>
            <family val="2"/>
          </rPr>
          <t xml:space="preserve">
The degree to which the product can be used
without specific training.</t>
        </r>
      </text>
    </comment>
    <comment ref="C50" authorId="0" shapeId="0" xr:uid="{00000000-0006-0000-0200-000024000000}">
      <text>
        <r>
          <rPr>
            <b/>
            <u/>
            <sz val="9"/>
            <color indexed="81"/>
            <rFont val="Tahoma"/>
            <family val="2"/>
          </rPr>
          <t>Definition:</t>
        </r>
        <r>
          <rPr>
            <sz val="9"/>
            <color indexed="81"/>
            <rFont val="Tahoma"/>
            <family val="2"/>
          </rPr>
          <t xml:space="preserve">
Degree to which a system protects users against
making errors.
</t>
        </r>
        <r>
          <rPr>
            <b/>
            <sz val="9"/>
            <color indexed="81"/>
            <rFont val="Tahoma"/>
            <family val="2"/>
          </rPr>
          <t xml:space="preserve">
</t>
        </r>
        <r>
          <rPr>
            <b/>
            <u/>
            <sz val="9"/>
            <color indexed="81"/>
            <rFont val="Tahoma"/>
            <family val="2"/>
          </rPr>
          <t>Note or Example Metric:</t>
        </r>
        <r>
          <rPr>
            <sz val="9"/>
            <color indexed="81"/>
            <rFont val="Tahoma"/>
            <family val="2"/>
          </rPr>
          <t xml:space="preserve">
Rules-based validation, input completeness rules,
sanity checks, referential integrity, confirmation on
CRUD operations.</t>
        </r>
      </text>
    </comment>
    <comment ref="C51" authorId="0" shapeId="0" xr:uid="{00000000-0006-0000-0200-000025000000}">
      <text>
        <r>
          <rPr>
            <b/>
            <u/>
            <sz val="9"/>
            <color indexed="81"/>
            <rFont val="Tahoma"/>
            <family val="2"/>
          </rPr>
          <t>Definition:</t>
        </r>
        <r>
          <rPr>
            <sz val="9"/>
            <color indexed="81"/>
            <rFont val="Tahoma"/>
            <family val="2"/>
          </rPr>
          <t xml:space="preserve">
Degree to which a user interface enables pleasing
and satisfying interaction for the user.
</t>
        </r>
        <r>
          <rPr>
            <b/>
            <sz val="9"/>
            <color indexed="81"/>
            <rFont val="Tahoma"/>
            <family val="2"/>
          </rPr>
          <t xml:space="preserve">
</t>
        </r>
        <r>
          <rPr>
            <b/>
            <u/>
            <sz val="9"/>
            <color indexed="81"/>
            <rFont val="Tahoma"/>
            <family val="2"/>
          </rPr>
          <t>Note or Example Metric:</t>
        </r>
        <r>
          <rPr>
            <sz val="9"/>
            <color indexed="81"/>
            <rFont val="Tahoma"/>
            <family val="2"/>
          </rPr>
          <t xml:space="preserve">
Subjective user surveys with standardized ratings.</t>
        </r>
      </text>
    </comment>
    <comment ref="C53" authorId="0" shapeId="0" xr:uid="{00000000-0006-0000-0200-000026000000}">
      <text>
        <r>
          <rPr>
            <b/>
            <u/>
            <sz val="9"/>
            <color indexed="81"/>
            <rFont val="Tahoma"/>
            <family val="2"/>
          </rPr>
          <t>Definition:</t>
        </r>
        <r>
          <rPr>
            <sz val="9"/>
            <color indexed="81"/>
            <rFont val="Tahoma"/>
            <family val="2"/>
          </rPr>
          <t xml:space="preserve">
Degree to which a product or system can be used
by people with the widest range of characteristics
and capabilities to achieve a specified goal in a
specified context of use.
</t>
        </r>
        <r>
          <rPr>
            <b/>
            <sz val="9"/>
            <color indexed="81"/>
            <rFont val="Tahoma"/>
            <family val="2"/>
          </rPr>
          <t xml:space="preserve">
</t>
        </r>
        <r>
          <rPr>
            <b/>
            <u/>
            <sz val="9"/>
            <color indexed="81"/>
            <rFont val="Tahoma"/>
            <family val="2"/>
          </rPr>
          <t>Note or Example Metric:</t>
        </r>
        <r>
          <rPr>
            <sz val="9"/>
            <color indexed="81"/>
            <rFont val="Tahoma"/>
            <family val="2"/>
          </rPr>
          <t xml:space="preserve">
Most typically: limited visual acuity, colour-blindness.</t>
        </r>
      </text>
    </comment>
    <comment ref="C55" authorId="0" shapeId="0" xr:uid="{00000000-0006-0000-0200-000027000000}">
      <text>
        <r>
          <rPr>
            <b/>
            <u/>
            <sz val="9"/>
            <color indexed="81"/>
            <rFont val="Tahoma"/>
            <family val="2"/>
          </rPr>
          <t>Definition:</t>
        </r>
        <r>
          <rPr>
            <sz val="9"/>
            <color indexed="81"/>
            <rFont val="Tahoma"/>
            <family val="2"/>
          </rPr>
          <t xml:space="preserve">
Degree to which a system, product or component
performs specified functions under specified
conditions for a specified period of time.</t>
        </r>
      </text>
    </comment>
    <comment ref="C56" authorId="0" shapeId="0" xr:uid="{00000000-0006-0000-0200-000028000000}">
      <text>
        <r>
          <rPr>
            <b/>
            <u/>
            <sz val="9"/>
            <color indexed="81"/>
            <rFont val="Tahoma"/>
            <family val="2"/>
          </rPr>
          <t>Definition:</t>
        </r>
        <r>
          <rPr>
            <sz val="9"/>
            <color indexed="81"/>
            <rFont val="Tahoma"/>
            <family val="2"/>
          </rPr>
          <t xml:space="preserve">
Degree to which a system, product or component
meets needs for reliability under normal operation.
</t>
        </r>
        <r>
          <rPr>
            <b/>
            <sz val="9"/>
            <color indexed="81"/>
            <rFont val="Tahoma"/>
            <family val="2"/>
          </rPr>
          <t xml:space="preserve">
</t>
        </r>
        <r>
          <rPr>
            <b/>
            <u/>
            <sz val="9"/>
            <color indexed="81"/>
            <rFont val="Tahoma"/>
            <family val="2"/>
          </rPr>
          <t>Note or Example Metric:</t>
        </r>
        <r>
          <rPr>
            <sz val="9"/>
            <color indexed="81"/>
            <rFont val="Tahoma"/>
            <family val="2"/>
          </rPr>
          <t xml:space="preserve">
Mean time between failures (MTBF); the degree of
stable operations encountered after product
updates and enhancements (ratio of #incidents for
a period of time before a change to #incidents
after the change); predictability (variation in
performance KPIs under specified loads).</t>
        </r>
      </text>
    </comment>
    <comment ref="C66" authorId="0" shapeId="0" xr:uid="{00000000-0006-0000-0200-000029000000}">
      <text>
        <r>
          <rPr>
            <b/>
            <u/>
            <sz val="9"/>
            <color indexed="81"/>
            <rFont val="Tahoma"/>
            <family val="2"/>
          </rPr>
          <t>Definition:</t>
        </r>
        <r>
          <rPr>
            <sz val="9"/>
            <color indexed="81"/>
            <rFont val="Tahoma"/>
            <family val="2"/>
          </rPr>
          <t xml:space="preserve">
Degree to which a system, product or component
is operational and accessible when required for use.
</t>
        </r>
        <r>
          <rPr>
            <b/>
            <sz val="9"/>
            <color indexed="81"/>
            <rFont val="Tahoma"/>
            <family val="2"/>
          </rPr>
          <t xml:space="preserve">
</t>
        </r>
        <r>
          <rPr>
            <b/>
            <u/>
            <sz val="9"/>
            <color indexed="81"/>
            <rFont val="Tahoma"/>
            <family val="2"/>
          </rPr>
          <t>Note or Example Metric:</t>
        </r>
        <r>
          <rPr>
            <sz val="9"/>
            <color indexed="81"/>
            <rFont val="Tahoma"/>
            <family val="2"/>
          </rPr>
          <t xml:space="preserve">
The ratio of time the product is operating fully in a
period of time to the total period of time: the
availability of a system for a period of time is the
probability that the system is available for use at
any random time in that period. Expressed as a
Requirement in terms of minutes per month of
downtime tolerated.</t>
        </r>
      </text>
    </comment>
    <comment ref="C75" authorId="0" shapeId="0" xr:uid="{00000000-0006-0000-0200-00002A000000}">
      <text>
        <r>
          <rPr>
            <b/>
            <u/>
            <sz val="9"/>
            <color indexed="81"/>
            <rFont val="Tahoma"/>
            <family val="2"/>
          </rPr>
          <t>Definition:</t>
        </r>
        <r>
          <rPr>
            <sz val="9"/>
            <color indexed="81"/>
            <rFont val="Tahoma"/>
            <family val="2"/>
          </rPr>
          <t xml:space="preserve">
Degree to which a system, product or component
operates as intended despite the presence of
hardware or software faults.
</t>
        </r>
        <r>
          <rPr>
            <b/>
            <sz val="9"/>
            <color indexed="81"/>
            <rFont val="Tahoma"/>
            <family val="2"/>
          </rPr>
          <t xml:space="preserve">
</t>
        </r>
        <r>
          <rPr>
            <b/>
            <u/>
            <sz val="9"/>
            <color indexed="81"/>
            <rFont val="Tahoma"/>
            <family val="2"/>
          </rPr>
          <t>Note or Example Metric:</t>
        </r>
        <r>
          <rPr>
            <sz val="9"/>
            <color indexed="81"/>
            <rFont val="Tahoma"/>
            <family val="2"/>
          </rPr>
          <t xml:space="preserve">
Redundancy; replication; diversity; graceful
degradation. Availability is the probability-based
numerical rating of fault tolerance.</t>
        </r>
      </text>
    </comment>
    <comment ref="C80" authorId="0" shapeId="0" xr:uid="{00000000-0006-0000-0200-00002B000000}">
      <text>
        <r>
          <rPr>
            <b/>
            <u/>
            <sz val="9"/>
            <color indexed="81"/>
            <rFont val="Tahoma"/>
            <family val="2"/>
          </rPr>
          <t>Definition:</t>
        </r>
        <r>
          <rPr>
            <sz val="9"/>
            <color indexed="81"/>
            <rFont val="Tahoma"/>
            <family val="2"/>
          </rPr>
          <t xml:space="preserve">
Degree to which, in the event of an interruption or
a failure, a product or system can recover the data
directly affected and re-establish the desired state
of the system.
</t>
        </r>
        <r>
          <rPr>
            <b/>
            <sz val="9"/>
            <color indexed="81"/>
            <rFont val="Tahoma"/>
            <family val="2"/>
          </rPr>
          <t xml:space="preserve">
</t>
        </r>
        <r>
          <rPr>
            <b/>
            <u/>
            <sz val="9"/>
            <color indexed="81"/>
            <rFont val="Tahoma"/>
            <family val="2"/>
          </rPr>
          <t>Note or Example Metric:</t>
        </r>
        <r>
          <rPr>
            <sz val="9"/>
            <color indexed="81"/>
            <rFont val="Tahoma"/>
            <family val="2"/>
          </rPr>
          <t xml:space="preserve">
Recovery Time Objective (RTO); Recovery Point
Objective (RPO); Mean Time To Repair (MTTR)
mean time to recover (data); backup frequency
(snapshots; hot; scheduled; mirroring); disaster
recovery.</t>
        </r>
      </text>
    </comment>
    <comment ref="C88" authorId="0" shapeId="0" xr:uid="{00000000-0006-0000-0200-00002C000000}">
      <text>
        <r>
          <rPr>
            <b/>
            <u/>
            <sz val="9"/>
            <color indexed="81"/>
            <rFont val="Tahoma"/>
            <family val="2"/>
          </rPr>
          <t>Definition:</t>
        </r>
        <r>
          <rPr>
            <sz val="9"/>
            <color indexed="81"/>
            <rFont val="Tahoma"/>
            <family val="2"/>
          </rPr>
          <t xml:space="preserve">
degree to which a product or system protects
information and data so that persons or other
products or systems have the degree of data
access appropriate to their types and levels of
authorization.</t>
        </r>
      </text>
    </comment>
    <comment ref="C103" authorId="0" shapeId="0" xr:uid="{00000000-0006-0000-0200-00002D000000}">
      <text>
        <r>
          <rPr>
            <b/>
            <u/>
            <sz val="9"/>
            <color indexed="81"/>
            <rFont val="Tahoma"/>
            <family val="2"/>
          </rPr>
          <t>Definition:</t>
        </r>
        <r>
          <rPr>
            <sz val="9"/>
            <color indexed="81"/>
            <rFont val="Tahoma"/>
            <family val="2"/>
          </rPr>
          <t xml:space="preserve">
Degree to which a product or system ensures that
data are accessible only to those authorized to have
access.
</t>
        </r>
        <r>
          <rPr>
            <b/>
            <sz val="9"/>
            <color indexed="81"/>
            <rFont val="Tahoma"/>
            <family val="2"/>
          </rPr>
          <t xml:space="preserve">
</t>
        </r>
        <r>
          <rPr>
            <b/>
            <u/>
            <sz val="9"/>
            <color indexed="81"/>
            <rFont val="Tahoma"/>
            <family val="2"/>
          </rPr>
          <t>Note or Example Metric:</t>
        </r>
        <r>
          <rPr>
            <sz val="9"/>
            <color indexed="81"/>
            <rFont val="Tahoma"/>
            <family val="2"/>
          </rPr>
          <t xml:space="preserve">
Strong passwords; password recycling policies;
multi-level access control; inactivity timeouts; include
protection of data outside the envelope of normal
software interfaces, such as directly accessing
serialized data or intercepting transmitted data;
disposition rules.</t>
        </r>
      </text>
    </comment>
    <comment ref="C119" authorId="0" shapeId="0" xr:uid="{00000000-0006-0000-0200-00002E000000}">
      <text>
        <r>
          <rPr>
            <b/>
            <u/>
            <sz val="9"/>
            <color indexed="81"/>
            <rFont val="Tahoma"/>
            <family val="2"/>
          </rPr>
          <t>Definition:</t>
        </r>
        <r>
          <rPr>
            <sz val="9"/>
            <color indexed="81"/>
            <rFont val="Tahoma"/>
            <family val="2"/>
          </rPr>
          <t xml:space="preserve">
Degree to which a system, product or component
prevents unauthorized access to, or modification of,
computer programs or data.
</t>
        </r>
        <r>
          <rPr>
            <b/>
            <sz val="9"/>
            <color indexed="81"/>
            <rFont val="Tahoma"/>
            <family val="2"/>
          </rPr>
          <t xml:space="preserve">
</t>
        </r>
        <r>
          <rPr>
            <b/>
            <u/>
            <sz val="9"/>
            <color indexed="81"/>
            <rFont val="Tahoma"/>
            <family val="2"/>
          </rPr>
          <t>Note or Example Metric:</t>
        </r>
        <r>
          <rPr>
            <sz val="9"/>
            <color indexed="81"/>
            <rFont val="Tahoma"/>
            <family val="2"/>
          </rPr>
          <t xml:space="preserve">
The probability that errors or attacks wll not lead to
access or damage to the state of the system,
including data, code, etc.</t>
        </r>
      </text>
    </comment>
    <comment ref="C131" authorId="0" shapeId="0" xr:uid="{00000000-0006-0000-0200-00002F000000}">
      <text>
        <r>
          <rPr>
            <b/>
            <u/>
            <sz val="9"/>
            <color indexed="81"/>
            <rFont val="Tahoma"/>
            <family val="2"/>
          </rPr>
          <t>Definition:</t>
        </r>
        <r>
          <rPr>
            <sz val="9"/>
            <color indexed="81"/>
            <rFont val="Tahoma"/>
            <family val="2"/>
          </rPr>
          <t xml:space="preserve">
Degree to which actions or events can be proven
to have taken place, so that the events or actions
cannot be repudiated later.</t>
        </r>
      </text>
    </comment>
    <comment ref="C135" authorId="0" shapeId="0" xr:uid="{00000000-0006-0000-0200-000030000000}">
      <text>
        <r>
          <rPr>
            <b/>
            <u/>
            <sz val="9"/>
            <color indexed="81"/>
            <rFont val="Tahoma"/>
            <family val="2"/>
          </rPr>
          <t>Definition:</t>
        </r>
        <r>
          <rPr>
            <sz val="9"/>
            <color indexed="81"/>
            <rFont val="Tahoma"/>
            <family val="2"/>
          </rPr>
          <t xml:space="preserve">
Degree to which the actions of an entity can be
traced uniquely to the entity.
</t>
        </r>
        <r>
          <rPr>
            <b/>
            <sz val="9"/>
            <color indexed="81"/>
            <rFont val="Tahoma"/>
            <family val="2"/>
          </rPr>
          <t xml:space="preserve">
</t>
        </r>
        <r>
          <rPr>
            <b/>
            <u/>
            <sz val="9"/>
            <color indexed="81"/>
            <rFont val="Tahoma"/>
            <family val="2"/>
          </rPr>
          <t>Note or Example Metric:</t>
        </r>
        <r>
          <rPr>
            <sz val="9"/>
            <color indexed="81"/>
            <rFont val="Tahoma"/>
            <family val="2"/>
          </rPr>
          <t xml:space="preserve">
Audit logs; transaction logs; user session logs; not
modifiable by Administrator; retention rules.</t>
        </r>
      </text>
    </comment>
    <comment ref="C140" authorId="0" shapeId="0" xr:uid="{00000000-0006-0000-0200-000031000000}">
      <text>
        <r>
          <rPr>
            <b/>
            <u/>
            <sz val="9"/>
            <color indexed="81"/>
            <rFont val="Tahoma"/>
            <family val="2"/>
          </rPr>
          <t>Definition:</t>
        </r>
        <r>
          <rPr>
            <sz val="9"/>
            <color indexed="81"/>
            <rFont val="Tahoma"/>
            <family val="2"/>
          </rPr>
          <t xml:space="preserve">
Degree to which the identity of a subject or
resource can be proved to be the one claimed.
</t>
        </r>
        <r>
          <rPr>
            <b/>
            <sz val="9"/>
            <color indexed="81"/>
            <rFont val="Tahoma"/>
            <family val="2"/>
          </rPr>
          <t xml:space="preserve">
</t>
        </r>
        <r>
          <rPr>
            <b/>
            <u/>
            <sz val="9"/>
            <color indexed="81"/>
            <rFont val="Tahoma"/>
            <family val="2"/>
          </rPr>
          <t>Note or Example Metric:</t>
        </r>
        <r>
          <rPr>
            <sz val="9"/>
            <color indexed="81"/>
            <rFont val="Tahoma"/>
            <family val="2"/>
          </rPr>
          <t xml:space="preserve">
Multi-factor authentication.</t>
        </r>
      </text>
    </comment>
    <comment ref="C160" authorId="0" shapeId="0" xr:uid="{00000000-0006-0000-0200-000032000000}">
      <text>
        <r>
          <rPr>
            <b/>
            <u/>
            <sz val="9"/>
            <color indexed="81"/>
            <rFont val="Tahoma"/>
            <family val="2"/>
          </rPr>
          <t>Definition:</t>
        </r>
        <r>
          <rPr>
            <sz val="9"/>
            <color indexed="81"/>
            <rFont val="Tahoma"/>
            <family val="2"/>
          </rPr>
          <t xml:space="preserve">
Degree of effectiveness and efficiency with which a
product or system can be modified by the intended
maintainers.</t>
        </r>
      </text>
    </comment>
    <comment ref="C167" authorId="0" shapeId="0" xr:uid="{00000000-0006-0000-0200-000033000000}">
      <text>
        <r>
          <rPr>
            <b/>
            <u/>
            <sz val="9"/>
            <color indexed="81"/>
            <rFont val="Tahoma"/>
            <family val="2"/>
          </rPr>
          <t>Definition:</t>
        </r>
        <r>
          <rPr>
            <sz val="9"/>
            <color indexed="81"/>
            <rFont val="Tahoma"/>
            <family val="2"/>
          </rPr>
          <t xml:space="preserve">
Degree to which a system or computer program is
composed of discrete components such that a
change to one component has minimal impact on
other components.
</t>
        </r>
        <r>
          <rPr>
            <b/>
            <sz val="9"/>
            <color indexed="81"/>
            <rFont val="Tahoma"/>
            <family val="2"/>
          </rPr>
          <t xml:space="preserve">
</t>
        </r>
        <r>
          <rPr>
            <b/>
            <u/>
            <sz val="9"/>
            <color indexed="81"/>
            <rFont val="Tahoma"/>
            <family val="2"/>
          </rPr>
          <t>Note or Example Metric:</t>
        </r>
        <r>
          <rPr>
            <sz val="9"/>
            <color indexed="81"/>
            <rFont val="Tahoma"/>
            <family val="2"/>
          </rPr>
          <t xml:space="preserve">
The ability of the solution to be delivered, deployed,
maintained and administred in self-contained units.</t>
        </r>
      </text>
    </comment>
    <comment ref="C169" authorId="0" shapeId="0" xr:uid="{00000000-0006-0000-0200-000034000000}">
      <text>
        <r>
          <rPr>
            <b/>
            <u/>
            <sz val="9"/>
            <color indexed="81"/>
            <rFont val="Tahoma"/>
            <family val="2"/>
          </rPr>
          <t>Definition:</t>
        </r>
        <r>
          <rPr>
            <sz val="9"/>
            <color indexed="81"/>
            <rFont val="Tahoma"/>
            <family val="2"/>
          </rPr>
          <t xml:space="preserve">
Degree to which an asset can be used in more than
one system, or in building other assets.
</t>
        </r>
        <r>
          <rPr>
            <b/>
            <sz val="9"/>
            <color indexed="81"/>
            <rFont val="Tahoma"/>
            <family val="2"/>
          </rPr>
          <t xml:space="preserve">
</t>
        </r>
        <r>
          <rPr>
            <b/>
            <u/>
            <sz val="9"/>
            <color indexed="81"/>
            <rFont val="Tahoma"/>
            <family val="2"/>
          </rPr>
          <t>Note or Example Metric:</t>
        </r>
        <r>
          <rPr>
            <sz val="9"/>
            <color indexed="81"/>
            <rFont val="Tahoma"/>
            <family val="2"/>
          </rPr>
          <t xml:space="preserve">
Ability to host other solutions (servers, network,
components, storage, databases, web servers and
other application platforms); ability to participate in
"mash-ups" or other plug-and-play ad hoc solutions.</t>
        </r>
      </text>
    </comment>
    <comment ref="C170" authorId="0" shapeId="0" xr:uid="{00000000-0006-0000-0200-000035000000}">
      <text>
        <r>
          <rPr>
            <b/>
            <u/>
            <sz val="9"/>
            <color indexed="81"/>
            <rFont val="Tahoma"/>
            <family val="2"/>
          </rPr>
          <t>Definition:</t>
        </r>
        <r>
          <rPr>
            <sz val="9"/>
            <color indexed="81"/>
            <rFont val="Tahoma"/>
            <family val="2"/>
          </rPr>
          <t xml:space="preserve">
Degree of effectiveness and efficiency with which it
is possible to assess the impact on a product or
system of an intended change to one or more of its
parts, or to diagnose a product for deficiencies or
causes of failures, or to identify parts to be modified.
</t>
        </r>
        <r>
          <rPr>
            <b/>
            <sz val="9"/>
            <color indexed="81"/>
            <rFont val="Tahoma"/>
            <family val="2"/>
          </rPr>
          <t xml:space="preserve">
</t>
        </r>
        <r>
          <rPr>
            <b/>
            <u/>
            <sz val="9"/>
            <color indexed="81"/>
            <rFont val="Tahoma"/>
            <family val="2"/>
          </rPr>
          <t>Note or Example Metric:</t>
        </r>
        <r>
          <rPr>
            <sz val="9"/>
            <color indexed="81"/>
            <rFont val="Tahoma"/>
            <family val="2"/>
          </rPr>
          <t xml:space="preserve">
Mean Failure Analysis Time (the mean time needed
to analyze a failure and to discover the faults that
arise from the failure); product can analyse its own
faults and provide reports prior to a failure or other
event; transaction logs; debug mode.</t>
        </r>
      </text>
    </comment>
    <comment ref="C172" authorId="0" shapeId="0" xr:uid="{00000000-0006-0000-0200-000036000000}">
      <text>
        <r>
          <rPr>
            <b/>
            <u/>
            <sz val="9"/>
            <color indexed="81"/>
            <rFont val="Tahoma"/>
            <family val="2"/>
          </rPr>
          <t>Definition:</t>
        </r>
        <r>
          <rPr>
            <sz val="9"/>
            <color indexed="81"/>
            <rFont val="Tahoma"/>
            <family val="2"/>
          </rPr>
          <t xml:space="preserve">
Degree to which a product or system can be
effectively and efficiently modified without introducing
defects or degrading existing product quality.
</t>
        </r>
        <r>
          <rPr>
            <b/>
            <sz val="9"/>
            <color indexed="81"/>
            <rFont val="Tahoma"/>
            <family val="2"/>
          </rPr>
          <t xml:space="preserve">
</t>
        </r>
        <r>
          <rPr>
            <b/>
            <u/>
            <sz val="9"/>
            <color indexed="81"/>
            <rFont val="Tahoma"/>
            <family val="2"/>
          </rPr>
          <t>Note or Example Metric:</t>
        </r>
        <r>
          <rPr>
            <sz val="9"/>
            <color indexed="81"/>
            <rFont val="Tahoma"/>
            <family val="2"/>
          </rPr>
          <t xml:space="preserve">
The average amount of effort needed to modify the
product; the functionality that can be changed by
configuration or other means without coding.</t>
        </r>
      </text>
    </comment>
    <comment ref="C173" authorId="0" shapeId="0" xr:uid="{00000000-0006-0000-0200-000037000000}">
      <text>
        <r>
          <rPr>
            <b/>
            <u/>
            <sz val="9"/>
            <color indexed="81"/>
            <rFont val="Tahoma"/>
            <family val="2"/>
          </rPr>
          <t>Definition:</t>
        </r>
        <r>
          <rPr>
            <sz val="9"/>
            <color indexed="81"/>
            <rFont val="Tahoma"/>
            <family val="2"/>
          </rPr>
          <t xml:space="preserve">
Degree of effectiveness and efficiency with which
test criteria can be established for a system, product
or component and tests can be performed to
determine whether those criteria have been met.</t>
        </r>
      </text>
    </comment>
    <comment ref="C174" authorId="0" shapeId="0" xr:uid="{00000000-0006-0000-0200-000038000000}">
      <text>
        <r>
          <rPr>
            <b/>
            <u/>
            <sz val="9"/>
            <color indexed="81"/>
            <rFont val="Tahoma"/>
            <family val="2"/>
          </rPr>
          <t>Definition:</t>
        </r>
        <r>
          <rPr>
            <sz val="9"/>
            <color indexed="81"/>
            <rFont val="Tahoma"/>
            <family val="2"/>
          </rPr>
          <t xml:space="preserve">
Degree of effectiveness and efficiency with which a
system, product or component can be transferred
from one hardware, software or other operational
or usage environment to another.</t>
        </r>
      </text>
    </comment>
    <comment ref="C175" authorId="0" shapeId="0" xr:uid="{00000000-0006-0000-0200-000039000000}">
      <text>
        <r>
          <rPr>
            <b/>
            <u/>
            <sz val="9"/>
            <color indexed="81"/>
            <rFont val="Tahoma"/>
            <family val="2"/>
          </rPr>
          <t>Definition:</t>
        </r>
        <r>
          <rPr>
            <sz val="9"/>
            <color indexed="81"/>
            <rFont val="Tahoma"/>
            <family val="2"/>
          </rPr>
          <t xml:space="preserve">
Degree to which a product or system can effectively
and efficiently be adapted for different or evolving
hardware, software or other operational or usage
environments.</t>
        </r>
      </text>
    </comment>
    <comment ref="C176" authorId="0" shapeId="0" xr:uid="{00000000-0006-0000-0200-00003A000000}">
      <text>
        <r>
          <rPr>
            <b/>
            <u/>
            <sz val="9"/>
            <color indexed="81"/>
            <rFont val="Tahoma"/>
            <family val="2"/>
          </rPr>
          <t>Definition:</t>
        </r>
        <r>
          <rPr>
            <sz val="9"/>
            <color indexed="81"/>
            <rFont val="Tahoma"/>
            <family val="2"/>
          </rPr>
          <t xml:space="preserve">
Degree of effectiveness and efficiency with which a
product or system can be successfully installed and/or
uninstalled in a specified environment.
</t>
        </r>
        <r>
          <rPr>
            <b/>
            <sz val="9"/>
            <color indexed="81"/>
            <rFont val="Tahoma"/>
            <family val="2"/>
          </rPr>
          <t xml:space="preserve">
</t>
        </r>
        <r>
          <rPr>
            <b/>
            <u/>
            <sz val="9"/>
            <color indexed="81"/>
            <rFont val="Tahoma"/>
            <family val="2"/>
          </rPr>
          <t>Note or Example Metric:</t>
        </r>
        <r>
          <rPr>
            <sz val="9"/>
            <color indexed="81"/>
            <rFont val="Tahoma"/>
            <family val="2"/>
          </rPr>
          <t xml:space="preserve">
Automated install script; registry-free install;
automated default configuration.</t>
        </r>
      </text>
    </comment>
    <comment ref="C178" authorId="0" shapeId="0" xr:uid="{00000000-0006-0000-0200-00003B000000}">
      <text>
        <r>
          <rPr>
            <b/>
            <u/>
            <sz val="9"/>
            <color indexed="81"/>
            <rFont val="Tahoma"/>
            <family val="2"/>
          </rPr>
          <t>Definition:</t>
        </r>
        <r>
          <rPr>
            <sz val="9"/>
            <color indexed="81"/>
            <rFont val="Tahoma"/>
            <family val="2"/>
          </rPr>
          <t xml:space="preserve">
Degree to which a product can replace another
specified software product for the same purpose
in the same environment.
</t>
        </r>
        <r>
          <rPr>
            <b/>
            <sz val="9"/>
            <color indexed="81"/>
            <rFont val="Tahoma"/>
            <family val="2"/>
          </rPr>
          <t xml:space="preserve">
</t>
        </r>
        <r>
          <rPr>
            <b/>
            <u/>
            <sz val="9"/>
            <color indexed="81"/>
            <rFont val="Tahoma"/>
            <family val="2"/>
          </rPr>
          <t>Note or Example Metric:</t>
        </r>
        <r>
          <rPr>
            <sz val="9"/>
            <color indexed="81"/>
            <rFont val="Tahoma"/>
            <family val="2"/>
          </rPr>
          <t xml:space="preserve">
Loose coupling for integrations; abstracted interfaces.</t>
        </r>
      </text>
    </comment>
  </commentList>
</comments>
</file>

<file path=xl/sharedStrings.xml><?xml version="1.0" encoding="utf-8"?>
<sst xmlns="http://schemas.openxmlformats.org/spreadsheetml/2006/main" count="2995" uniqueCount="844">
  <si>
    <t>Group</t>
  </si>
  <si>
    <t>Weight</t>
  </si>
  <si>
    <t>Reference</t>
  </si>
  <si>
    <t>Title</t>
  </si>
  <si>
    <t>Status</t>
  </si>
  <si>
    <t>Production milestone</t>
  </si>
  <si>
    <t>Control milestone</t>
  </si>
  <si>
    <t>1.1</t>
  </si>
  <si>
    <t>Bases attributes</t>
  </si>
  <si>
    <t>DICT</t>
  </si>
  <si>
    <t>Functional Suitability</t>
  </si>
  <si>
    <t>Security</t>
  </si>
  <si>
    <t>5.1</t>
  </si>
  <si>
    <t>Confidentiality</t>
  </si>
  <si>
    <t>Periodicity</t>
  </si>
  <si>
    <t>Producer role</t>
  </si>
  <si>
    <t>Operational Management (BUILD and RUN)</t>
  </si>
  <si>
    <t>D1</t>
  </si>
  <si>
    <t>D4</t>
  </si>
  <si>
    <t>D3</t>
  </si>
  <si>
    <t>D2</t>
  </si>
  <si>
    <t>I1</t>
  </si>
  <si>
    <t>I2</t>
  </si>
  <si>
    <t>I3</t>
  </si>
  <si>
    <t>I4</t>
  </si>
  <si>
    <t>C1</t>
  </si>
  <si>
    <t>C2</t>
  </si>
  <si>
    <t>C3</t>
  </si>
  <si>
    <t>C4</t>
  </si>
  <si>
    <t>T1</t>
  </si>
  <si>
    <t>T2</t>
  </si>
  <si>
    <t>T3</t>
  </si>
  <si>
    <t>T4</t>
  </si>
  <si>
    <t>Yes</t>
  </si>
  <si>
    <t>Impacted deliverables</t>
  </si>
  <si>
    <t>Functional application name</t>
  </si>
  <si>
    <t>BIS</t>
  </si>
  <si>
    <t>Domain</t>
  </si>
  <si>
    <t>Mandatory NFR Status</t>
  </si>
  <si>
    <t>Specific NFR Status</t>
  </si>
  <si>
    <t>Followed</t>
  </si>
  <si>
    <t>Proposed</t>
  </si>
  <si>
    <t>Draft</t>
  </si>
  <si>
    <t>Accepted</t>
  </si>
  <si>
    <t>No</t>
  </si>
  <si>
    <t>Implemented</t>
  </si>
  <si>
    <t>N/A</t>
  </si>
  <si>
    <t>Rejected</t>
  </si>
  <si>
    <t>Obsolete</t>
  </si>
  <si>
    <t>Referential status</t>
  </si>
  <si>
    <t>Verified</t>
  </si>
  <si>
    <t>Valid</t>
  </si>
  <si>
    <t>Roles and milestones for BUILD</t>
  </si>
  <si>
    <t>1.2</t>
  </si>
  <si>
    <t>1.3</t>
  </si>
  <si>
    <t>2.1</t>
  </si>
  <si>
    <t>Reliability</t>
  </si>
  <si>
    <t>Availability</t>
  </si>
  <si>
    <t>2.2</t>
  </si>
  <si>
    <t>Fault tolerance</t>
  </si>
  <si>
    <t>2.3</t>
  </si>
  <si>
    <t>Recoverability</t>
  </si>
  <si>
    <t>Performance efficiency</t>
  </si>
  <si>
    <t>3.1</t>
  </si>
  <si>
    <t>Time behaviour</t>
  </si>
  <si>
    <t>Operability</t>
  </si>
  <si>
    <t>Compatibility</t>
  </si>
  <si>
    <t>Maintainability</t>
  </si>
  <si>
    <t>3.2</t>
  </si>
  <si>
    <t>Resource utilisation</t>
  </si>
  <si>
    <t>Appropriateness recognisability</t>
  </si>
  <si>
    <t>4.1</t>
  </si>
  <si>
    <t>4.2</t>
  </si>
  <si>
    <t>Learnability</t>
  </si>
  <si>
    <t>4.3</t>
  </si>
  <si>
    <t>4.4</t>
  </si>
  <si>
    <t>4.5</t>
  </si>
  <si>
    <t>4.6</t>
  </si>
  <si>
    <t>5.2</t>
  </si>
  <si>
    <t>5.3</t>
  </si>
  <si>
    <t>5.4</t>
  </si>
  <si>
    <t>Integrity</t>
  </si>
  <si>
    <t>Non-repudiency</t>
  </si>
  <si>
    <t>Accountability</t>
  </si>
  <si>
    <t>6.4</t>
  </si>
  <si>
    <t>6.3</t>
  </si>
  <si>
    <t>6.2</t>
  </si>
  <si>
    <t>6.1</t>
  </si>
  <si>
    <t>Replaceability</t>
  </si>
  <si>
    <t>Co-existence</t>
  </si>
  <si>
    <t>Interoperability</t>
  </si>
  <si>
    <t>7.1</t>
  </si>
  <si>
    <t>7.2</t>
  </si>
  <si>
    <t>7.3</t>
  </si>
  <si>
    <t>7.4</t>
  </si>
  <si>
    <t>7.5</t>
  </si>
  <si>
    <t>Modularity</t>
  </si>
  <si>
    <t>Reusability</t>
  </si>
  <si>
    <t>Analyzability</t>
  </si>
  <si>
    <t>Testability</t>
  </si>
  <si>
    <t>8.1</t>
  </si>
  <si>
    <t>8.2</t>
  </si>
  <si>
    <t>8.3</t>
  </si>
  <si>
    <t>Portability</t>
  </si>
  <si>
    <t>Adaptability</t>
  </si>
  <si>
    <t>Installability</t>
  </si>
  <si>
    <t>Trigger</t>
  </si>
  <si>
    <t>Functional completeness</t>
  </si>
  <si>
    <t>Functional correctness</t>
  </si>
  <si>
    <t>Functional appropriateness</t>
  </si>
  <si>
    <t>Modifiability</t>
  </si>
  <si>
    <t>6.5</t>
  </si>
  <si>
    <t>Usability</t>
  </si>
  <si>
    <t>User error protection</t>
  </si>
  <si>
    <t>User interface aesthetics</t>
  </si>
  <si>
    <t>Accessibility</t>
  </si>
  <si>
    <t>Maturity</t>
  </si>
  <si>
    <t>Capacity</t>
  </si>
  <si>
    <t>Responsible for the "How"</t>
  </si>
  <si>
    <t>Responsible role</t>
  </si>
  <si>
    <t>Authenticity (and rights administration)</t>
  </si>
  <si>
    <t>PRA class</t>
  </si>
  <si>
    <t>Responsible for the "Why"</t>
  </si>
  <si>
    <t>6.0</t>
  </si>
  <si>
    <t>Overall security requirements</t>
  </si>
  <si>
    <t>Trace name, @IP, …</t>
  </si>
  <si>
    <t>Content (users' and administrators' actions), conservation time, publication and analysis of traceability data, confidentiality level for traceability data.</t>
  </si>
  <si>
    <t>Data privacy</t>
  </si>
  <si>
    <t>X</t>
  </si>
  <si>
    <t>Service level</t>
  </si>
  <si>
    <t>TPM</t>
  </si>
  <si>
    <t>ITE-TN, TFA, DEV</t>
  </si>
  <si>
    <t>A planning entity is a sequence of processing. To be done for all systems using batch processes.</t>
  </si>
  <si>
    <t>Technical architecture dossier</t>
  </si>
  <si>
    <t>Relevant</t>
  </si>
  <si>
    <t>PFA</t>
  </si>
  <si>
    <t>TFA, DEV, ITE-TN</t>
  </si>
  <si>
    <t>No dispense possible</t>
  </si>
  <si>
    <t>TFA, ITE-TN</t>
  </si>
  <si>
    <t>ITE-TN</t>
  </si>
  <si>
    <t>None</t>
  </si>
  <si>
    <t>DEV</t>
  </si>
  <si>
    <t>The system's infrastructure must be adapted to the performance requirements. Tests must be done using metrology tools.</t>
  </si>
  <si>
    <t>ART</t>
  </si>
  <si>
    <t>Infrastructure</t>
  </si>
  <si>
    <t>Design and development</t>
  </si>
  <si>
    <t>Project methodology</t>
  </si>
  <si>
    <t>Functional specifications dossier</t>
  </si>
  <si>
    <t>ASI</t>
  </si>
  <si>
    <t>Operation's menu</t>
  </si>
  <si>
    <t>Material or maintenance renew</t>
  </si>
  <si>
    <t>ITE-VCO</t>
  </si>
  <si>
    <t>Monitoring problem</t>
  </si>
  <si>
    <t>Major system defect</t>
  </si>
  <si>
    <t>Swap needed</t>
  </si>
  <si>
    <t>Recovery needed</t>
  </si>
  <si>
    <t>PGA</t>
  </si>
  <si>
    <t>Corrections in operation and maintenance phase</t>
  </si>
  <si>
    <t>ITE-VCO, CPRA, POA</t>
  </si>
  <si>
    <t>OPE, ITE-VCO</t>
  </si>
  <si>
    <t>POA</t>
  </si>
  <si>
    <t>Shut-down / restart needed</t>
  </si>
  <si>
    <t>After a restart or recovery</t>
  </si>
  <si>
    <t>Repositories to update</t>
  </si>
  <si>
    <t>PGA, ITE-VCO</t>
  </si>
  <si>
    <t>Functional specifications dossier, Access rights matrix, REFLEX</t>
  </si>
  <si>
    <t>Access rights matrix</t>
  </si>
  <si>
    <t>REFLEX</t>
  </si>
  <si>
    <t>EXP</t>
  </si>
  <si>
    <t>RSECU</t>
  </si>
  <si>
    <t>DEV, ITE-TN</t>
  </si>
  <si>
    <t>RTST</t>
  </si>
  <si>
    <t>Test strategy</t>
  </si>
  <si>
    <t>Security, Design and development</t>
  </si>
  <si>
    <t>Security vulnerability detected</t>
  </si>
  <si>
    <t>EXP (supplier)</t>
  </si>
  <si>
    <t>Not relevant</t>
  </si>
  <si>
    <t>Not feasable</t>
  </si>
  <si>
    <t>Once a year</t>
  </si>
  <si>
    <t>Twice a year</t>
  </si>
  <si>
    <t>PTA, ITE-VCO</t>
  </si>
  <si>
    <t>On change</t>
  </si>
  <si>
    <t>Software upgrade</t>
  </si>
  <si>
    <t>Functional specifications dossier, User manual</t>
  </si>
  <si>
    <t>Project methodology, Security</t>
  </si>
  <si>
    <t>Total</t>
  </si>
  <si>
    <t>System information:</t>
  </si>
  <si>
    <t>DICT, PRA class, Service level and data privacy (DP)</t>
  </si>
  <si>
    <t>Yes / No</t>
  </si>
  <si>
    <t>Platinium</t>
  </si>
  <si>
    <t>Gold</t>
  </si>
  <si>
    <t>Silver</t>
  </si>
  <si>
    <t xml:space="preserve"> =&gt; </t>
  </si>
  <si>
    <t>Color</t>
  </si>
  <si>
    <t>Legend of the Status colors (linked to "Relevant" and "Status" columns data)</t>
  </si>
  <si>
    <t>Legend for the responsibilities about the management of the repository</t>
  </si>
  <si>
    <t>Name</t>
  </si>
  <si>
    <t>Corresponding entity</t>
  </si>
  <si>
    <t>The requirement is relevant, the project must indicate if it will be takken into account.</t>
  </si>
  <si>
    <t>The requirement is relevant and the project will take it into account. This status must be reached for all requirements before the end of the pre-study.</t>
  </si>
  <si>
    <t>The requirement is set as not relevant by the filter. It is not takken into account in synthesis.</t>
  </si>
  <si>
    <t>The requirement is set as relevant by the filter, but the project indicate it is not. It is necessary to put a comment to explain the reason. It is not takken into account in synthesis.</t>
  </si>
  <si>
    <t>The requirement is relevant and implemented, but not yet verified. This status must be reached for all requirements before the milestone indicated in column "Production milestone".</t>
  </si>
  <si>
    <t>The requirement is relevant, implemented and verified. This status must be reached for all requirements before the milestone indicated in column "Control milestone".</t>
  </si>
  <si>
    <t>Synthesis</t>
  </si>
  <si>
    <t>The requirement is relevant, but the project is not able to implement it. Indicate the reason in the field "comment". Set up a contingency plan of the risk</t>
  </si>
  <si>
    <t>NFR-1201</t>
  </si>
  <si>
    <t>NFR-1202</t>
  </si>
  <si>
    <t>NFR-1203</t>
  </si>
  <si>
    <t>NFR-2101</t>
  </si>
  <si>
    <t>NFR-2201</t>
  </si>
  <si>
    <t>NFR-2202</t>
  </si>
  <si>
    <t>NFR-2203</t>
  </si>
  <si>
    <t>NFR-2301</t>
  </si>
  <si>
    <t>NFR-3101</t>
  </si>
  <si>
    <t>NFR-3201</t>
  </si>
  <si>
    <t>NFR-3202</t>
  </si>
  <si>
    <t>NFR-5101</t>
  </si>
  <si>
    <t>NFR-5102</t>
  </si>
  <si>
    <t>NFR-5103</t>
  </si>
  <si>
    <t>NFR-5104</t>
  </si>
  <si>
    <t>NFR-5201</t>
  </si>
  <si>
    <t>NFR-5202</t>
  </si>
  <si>
    <t>NFR-5204</t>
  </si>
  <si>
    <t>NFR-5205</t>
  </si>
  <si>
    <t>NFR-5301</t>
  </si>
  <si>
    <t>NFR-5302</t>
  </si>
  <si>
    <t>NFR-5303</t>
  </si>
  <si>
    <t>NFR-5304</t>
  </si>
  <si>
    <t>NFR-5401</t>
  </si>
  <si>
    <t>NFR-5403</t>
  </si>
  <si>
    <t>NFR-6001</t>
  </si>
  <si>
    <t>NFR-6002</t>
  </si>
  <si>
    <t>NFR-6006</t>
  </si>
  <si>
    <t>NFR-6101</t>
  </si>
  <si>
    <t>NFR-6104</t>
  </si>
  <si>
    <t>NFR-6105</t>
  </si>
  <si>
    <t>NFR-6106</t>
  </si>
  <si>
    <t>NFR-6107</t>
  </si>
  <si>
    <t>NFR-6108</t>
  </si>
  <si>
    <t>NFR-6109</t>
  </si>
  <si>
    <t>NFR-6110</t>
  </si>
  <si>
    <t>NFR-6111</t>
  </si>
  <si>
    <t>NFR-6112</t>
  </si>
  <si>
    <t>NFR-6113</t>
  </si>
  <si>
    <t>NFR-6115</t>
  </si>
  <si>
    <t>NFR-6201</t>
  </si>
  <si>
    <t>NFR-6202</t>
  </si>
  <si>
    <t>NFR-6203</t>
  </si>
  <si>
    <t>NFR-6204</t>
  </si>
  <si>
    <t>NFR-6206</t>
  </si>
  <si>
    <t>NFR-6401</t>
  </si>
  <si>
    <t>NFR-6402</t>
  </si>
  <si>
    <t>NFR-6403</t>
  </si>
  <si>
    <t>NFR-6501</t>
  </si>
  <si>
    <t>NFR-6502</t>
  </si>
  <si>
    <t>NFR-6503</t>
  </si>
  <si>
    <t>NFR-6506</t>
  </si>
  <si>
    <t>NFR-7101</t>
  </si>
  <si>
    <t>NFR-7301</t>
  </si>
  <si>
    <t>NFR-8201</t>
  </si>
  <si>
    <t>Check means</t>
  </si>
  <si>
    <t>Purpose</t>
  </si>
  <si>
    <t>For each requirement, columns “Reference”, “Relevant” and “Status” are filled with a specific color. Those colors are also used in the “Synthesis” sheet for requirements status charts:</t>
  </si>
  <si>
    <t>Group name</t>
  </si>
  <si>
    <t>Group description</t>
  </si>
  <si>
    <t>Meaning of column groups</t>
  </si>
  <si>
    <t>Columns are grouped to facilitate the reading in the document. Details about each column is readable in comments on columns headers. Each columns group have a name and a specific color:</t>
  </si>
  <si>
    <t>List of all involved teams, with the name used in this repository and the corresponding entity:</t>
  </si>
  <si>
    <t>Roles and triggers for RUN</t>
  </si>
  <si>
    <t>Identification of the requirement (reference and title), small description and other basic information.</t>
  </si>
  <si>
    <t>Status of the requirements with related details (dates, comments).</t>
  </si>
  <si>
    <t>Indicates who will work on requirements during BUILD, how it will be verified, and when those actions must be done (project milestones).</t>
  </si>
  <si>
    <t>Indicates who will work on requirements during RUN, and when actions must be done (periodicity or linked to a trigger).</t>
  </si>
  <si>
    <t>Indicates, for each requirement, who is responsible of its information in the repository.</t>
  </si>
  <si>
    <t>Data used to filter the requirements using system parameters out from Synthesis sheet.</t>
  </si>
  <si>
    <t>Material maintenance manager</t>
  </si>
  <si>
    <t>System defect</t>
  </si>
  <si>
    <t>Maintenance contracts, TMA</t>
  </si>
  <si>
    <t>Functional Specifications Dossier</t>
  </si>
  <si>
    <t>PTA</t>
  </si>
  <si>
    <t>Component recived</t>
  </si>
  <si>
    <t>Evolution done</t>
  </si>
  <si>
    <t>Configuration updated</t>
  </si>
  <si>
    <t>Technical architecture dossier, Operation dossier</t>
  </si>
  <si>
    <t>Test data sets</t>
  </si>
  <si>
    <t>Technical architecture dossier, Functional architecture dossier</t>
  </si>
  <si>
    <t>Operation dossier</t>
  </si>
  <si>
    <t>TPM, DEV, ITE-TN</t>
  </si>
  <si>
    <t>Components</t>
  </si>
  <si>
    <t>REUNIS</t>
  </si>
  <si>
    <t>During BUILD, ask to EXP the procedures to be applyed during restitutions. During RUN, ask to EXP the formal tracking.</t>
  </si>
  <si>
    <t>During BUILD, ask to EXP the procedures to be applyed during restitutions.</t>
  </si>
  <si>
    <t>Support to be restitued</t>
  </si>
  <si>
    <t>Installation to be done</t>
  </si>
  <si>
    <t>ASI, RTST</t>
  </si>
  <si>
    <t>Policy update</t>
  </si>
  <si>
    <t>Must be reviewed once at the end of the BUILD phase.</t>
  </si>
  <si>
    <t>Must be done before the end of the BUILD phase if any critical security vulnerability is detected during BUILD. No need for a crisis cell if it is before the J9/GOPROD milesotone.</t>
  </si>
  <si>
    <t>Must be done before the end of the BUILD phase, or must be planed to be done after, if any non-critical security vulnerability is detected during BUILD.</t>
  </si>
  <si>
    <t>7.0</t>
  </si>
  <si>
    <t>Overall maintainability requirements</t>
  </si>
  <si>
    <t>NFR-7001</t>
  </si>
  <si>
    <t>NFR-7002</t>
  </si>
  <si>
    <t>PTA, DEV</t>
  </si>
  <si>
    <t>NFR-7003</t>
  </si>
  <si>
    <t>Components assembly</t>
  </si>
  <si>
    <t>TPM, DEV</t>
  </si>
  <si>
    <t>TFA, DEV</t>
  </si>
  <si>
    <t>Code evolution</t>
  </si>
  <si>
    <t>Qualimetric platform</t>
  </si>
  <si>
    <t>Continuous integration platform and qualimetric platform</t>
  </si>
  <si>
    <t>SCM platform</t>
  </si>
  <si>
    <t>Partnership contract</t>
  </si>
  <si>
    <t>PFA, ITE-VCO</t>
  </si>
  <si>
    <t>CMDS</t>
  </si>
  <si>
    <t>Pending</t>
  </si>
  <si>
    <t>Configuration management dossier</t>
  </si>
  <si>
    <t>Reference configuration</t>
  </si>
  <si>
    <t>5P after problem with change template</t>
  </si>
  <si>
    <t>CAB</t>
  </si>
  <si>
    <t>RT-PERF, ITE-VCO</t>
  </si>
  <si>
    <t>Potential problem identified during BIS performance meeting</t>
  </si>
  <si>
    <t>Integration dossier</t>
  </si>
  <si>
    <t>Project methodology, CAB</t>
  </si>
  <si>
    <t>NFR-5105</t>
  </si>
  <si>
    <t>NFR-5107</t>
  </si>
  <si>
    <t>NFR-6301</t>
  </si>
  <si>
    <t>Check in REUNIS</t>
  </si>
  <si>
    <t>NFR-2302</t>
  </si>
  <si>
    <t>Resources include Bandwidth, CPU utilization, memory usage, storage. Needs of the application concern data volumes and number of users.</t>
  </si>
  <si>
    <t>Capacity means data volumes and number of users. It includes exceptional but anticipated needs.</t>
  </si>
  <si>
    <t>RTO</t>
  </si>
  <si>
    <t>Technical architecture dossier, DRP (PRA) dossier</t>
  </si>
  <si>
    <t>PRA test each 3 years</t>
  </si>
  <si>
    <t>DRP referent</t>
  </si>
  <si>
    <t>Ask to supplier's EXP</t>
  </si>
  <si>
    <t>Supplier's EXP</t>
  </si>
  <si>
    <t>NFR-2204</t>
  </si>
  <si>
    <t>Ancicipation tickets in CTR</t>
  </si>
  <si>
    <t>COORD-CHGT, RDSM, ITE-VCO</t>
  </si>
  <si>
    <t>Change to anticipate</t>
  </si>
  <si>
    <t>Planing must be up to date all along the project life for major versions, or for main business events.</t>
  </si>
  <si>
    <t>Partnership contract animation, monitoring, performance and capacity tools</t>
  </si>
  <si>
    <t>Resources include Bandwidth, CPU utilization, memory usage, storage. The BUILD must put in place the partnership contract.</t>
  </si>
  <si>
    <t>Functional specifications dossier, Components</t>
  </si>
  <si>
    <t>Typo3</t>
  </si>
  <si>
    <t>For processes which uses a functional date, the programs must use a functional date independent from the machine's date</t>
  </si>
  <si>
    <t>The system's scheduling entities produce consistent, complete results</t>
  </si>
  <si>
    <t>The time's reference must be guaranteed and its good usage must be checked periodically</t>
  </si>
  <si>
    <t>The target system architecture is able to meet performance expectations and performance has to be monitored during the RUN</t>
  </si>
  <si>
    <t>The system has a purging procedure for functional data, using data archive if required</t>
  </si>
  <si>
    <t>The system has purging procedures for technical data</t>
  </si>
  <si>
    <t>The system has an operational procedure to re-organize the database(s)</t>
  </si>
  <si>
    <t>The resources of the system are regularly monitored, analysed and in adequation with the current needs of the application</t>
  </si>
  <si>
    <t>The system's initial capacity is able to deal with the starting needs and also their anticipated increase</t>
  </si>
  <si>
    <t>The increase of resource needs related to the increase of the business must be anticipated</t>
  </si>
  <si>
    <t>The system is able to coexist with others</t>
  </si>
  <si>
    <t>IP services of the system are identified (map of flows)</t>
  </si>
  <si>
    <t>The system must be designed and realized to be operated by the Operations with their usual tools</t>
  </si>
  <si>
    <t>For hardware managed outside DDCE, the maintenance was forecasted and the critical hardware was identified</t>
  </si>
  <si>
    <t>Process scheduling must be fully automatic</t>
  </si>
  <si>
    <t>Any job submitted by a user shall be under exclusive control of application</t>
  </si>
  <si>
    <t>System's operational information is complete and up to date in operational repositories (CMDB)</t>
  </si>
  <si>
    <t>The change templates are up to date for each functional version</t>
  </si>
  <si>
    <t>The change templates are up to date for each technical version</t>
  </si>
  <si>
    <t>Anticipation planing for the CAB (DDCE changes coordination) must be up to date</t>
  </si>
  <si>
    <t>Degraded processes exist and are tested (IT or/and organizational)</t>
  </si>
  <si>
    <t>Business sector on-call is operational</t>
  </si>
  <si>
    <t>Infrastructure teams on-call is operational</t>
  </si>
  <si>
    <t>Maintenance contracts, with response times tailored to DICT level, are up to date</t>
  </si>
  <si>
    <t>Time ranges for user's activities, for batch processings and for technical maintenance are validated with the users</t>
  </si>
  <si>
    <t>Any application batch program must generate a return code reflecting its execution end status</t>
  </si>
  <si>
    <t>All system batchs (job, script, netbatch stage, etc.) can be restarted</t>
  </si>
  <si>
    <t>The technical environment (electricity, cooling, etc.) is securized with hardware redundancy</t>
  </si>
  <si>
    <t>IT Hardware redundancy (server farms, clusters, etc.) is implemented</t>
  </si>
  <si>
    <t>The system includes a tested operational back-up and recovery mechanism</t>
  </si>
  <si>
    <t>The system has tested shut-down and restart plans for hardware, OS, products and system itself</t>
  </si>
  <si>
    <t>The operational application lead (POA) of the system has a range of functional tests to apply during a restart</t>
  </si>
  <si>
    <t>NFR-5402</t>
  </si>
  <si>
    <t>System needs class 1 infrastructure and must do a DRP (PRA) test</t>
  </si>
  <si>
    <t>System needs class 2 infrastructure and must do a DRP (PRA) test</t>
  </si>
  <si>
    <t>System needs class 3 infrastructure</t>
  </si>
  <si>
    <t>System needs class 4 infrastructure</t>
  </si>
  <si>
    <t>Physical access to computer rooms is strictly limited to operational response needs</t>
  </si>
  <si>
    <t>Treatment of non-critical security vulnerabilities is done as soon as possible without exceeding 3 months</t>
  </si>
  <si>
    <t>User access rights must be reviewed once a year</t>
  </si>
  <si>
    <t>User access rights must be reviewed twice a year</t>
  </si>
  <si>
    <t>Technical and functional administrator access rights must be reviewed once a year</t>
  </si>
  <si>
    <t>Technical and functional administrator access rights must be reviewed twice a year</t>
  </si>
  <si>
    <t>The system must provide tools for application "reporting" (dashboards, etc.)</t>
  </si>
  <si>
    <t>Data backups and archives must have enhanced protection (encryption or safe)</t>
  </si>
  <si>
    <t>The system's security must be enhanced by a strict segmentation of server host network or server itself, or by a hardened operating system</t>
  </si>
  <si>
    <t>Active network services must be limited to what is strictly necessary</t>
  </si>
  <si>
    <t>The system is deployed on an environment dedicated for itself or for a group of systems</t>
  </si>
  <si>
    <t>Protection of data must be strengthened (dedicated storage or encryption)</t>
  </si>
  <si>
    <t>Physical access to servers and storage arrays must follow specific procedures (control, traceability and authorization)</t>
  </si>
  <si>
    <t>Differences between access rights defined in the security reference and the actual rights on the systems in operation must be checked</t>
  </si>
  <si>
    <t>The DICT of any third party application that use system's data must be consistent with the DICT of the system</t>
  </si>
  <si>
    <t>Data must be "safe erased" during the restitution process of the supports</t>
  </si>
  <si>
    <t>Data must be erased (Qualified erasing) or support must be destroyed during the restitution process of the supports, with formal tracking</t>
  </si>
  <si>
    <t>Data extractions and downloads/upload (printing and others) must be controled (technical and / or procedure)</t>
  </si>
  <si>
    <t>For technical administrative actions, whenever the protocol allows it, use the infrastructure administrative gateway</t>
  </si>
  <si>
    <t>The installation of developments is under the exclusive responsibility of technical integrators (concept of separating roles)</t>
  </si>
  <si>
    <t>Technical integrators seals system's components after receipt</t>
  </si>
  <si>
    <t>Evolutions of system's versions must be registered</t>
  </si>
  <si>
    <t>Technical configuration's modifications must be registered</t>
  </si>
  <si>
    <t>Technical configuration's modifications must be registered (strict monitoring, a simple declaration does not suffice)</t>
  </si>
  <si>
    <t>The means to detect version's evolutions of the system must be implemented</t>
  </si>
  <si>
    <t>The system ensures the operational integrity of its data</t>
  </si>
  <si>
    <t>The system ensures the operational integrity of its traceability data</t>
  </si>
  <si>
    <t>Operational back-up and recovery mechanism for traceability data is implemented and tested</t>
  </si>
  <si>
    <t>Control procedures of the deviant behaviors are defined and implemented</t>
  </si>
  <si>
    <t>Accesses of third party applications must be traced</t>
  </si>
  <si>
    <t>Administration of user rights complies with the current logical security tool</t>
  </si>
  <si>
    <t>NFR-6504a</t>
  </si>
  <si>
    <t>NFR-6505b</t>
  </si>
  <si>
    <t>NFR-6504b</t>
  </si>
  <si>
    <t>NFR-6504c</t>
  </si>
  <si>
    <t>NFR-6505a</t>
  </si>
  <si>
    <t>NFR-6507a</t>
  </si>
  <si>
    <t>NFR-6507b</t>
  </si>
  <si>
    <t>NFR-6507c</t>
  </si>
  <si>
    <t>NFR-6507d</t>
  </si>
  <si>
    <t>NFR-6507f</t>
  </si>
  <si>
    <t>NFR-6507h</t>
  </si>
  <si>
    <t>The owner of a writing access service must confirm access service assignations</t>
  </si>
  <si>
    <t>The owner of a reading access service must confirm access service assignations</t>
  </si>
  <si>
    <t>The owner of a functional or technical administrator access service must confirm access service assignations</t>
  </si>
  <si>
    <t>The owner of a functional or technical administrator access service limits the number of administrators to the just necessary</t>
  </si>
  <si>
    <t>The owner of a functional or technical administrator access service limits number of administrators to the strictly necessary</t>
  </si>
  <si>
    <t>The number of users having access to an information asset must be less than 150</t>
  </si>
  <si>
    <t>The system uses “Strong” method to authenticate functional or technical administrators</t>
  </si>
  <si>
    <t>The system uses “Strong” method to authenticate users</t>
  </si>
  <si>
    <t>The source code is under control (the SCM tool should be under PSA ownership)</t>
  </si>
  <si>
    <t>The PSA continuous integration and qualimetric platforms (CIQ) should be used for all supported development languages</t>
  </si>
  <si>
    <t>The batchs must be designed and developed in modular way in consistent functional subset</t>
  </si>
  <si>
    <t>The system must easily enable the users to indicate its reference name as it is written in applications repository to Help Desk</t>
  </si>
  <si>
    <t>NFR-5106a</t>
  </si>
  <si>
    <t>NFR-5106b</t>
  </si>
  <si>
    <t>NFR-5203a</t>
  </si>
  <si>
    <t>NFR-5203b</t>
  </si>
  <si>
    <t>NFR-5203c</t>
  </si>
  <si>
    <t>NFR-5203d</t>
  </si>
  <si>
    <t>NFR-5404a</t>
  </si>
  <si>
    <t>NFR-5404b</t>
  </si>
  <si>
    <t>NFR-5404c</t>
  </si>
  <si>
    <t>NFR-5404d</t>
  </si>
  <si>
    <t>NFR-6003a</t>
  </si>
  <si>
    <t>NFR-6003b</t>
  </si>
  <si>
    <t>NFR-6003c</t>
  </si>
  <si>
    <t>NFR-6004a</t>
  </si>
  <si>
    <t>NFR-6004b</t>
  </si>
  <si>
    <t>NFR-6004c</t>
  </si>
  <si>
    <t>NFR-6004d</t>
  </si>
  <si>
    <t>NFR-6114a</t>
  </si>
  <si>
    <t>NFR-6114b</t>
  </si>
  <si>
    <t>NFR-6205a</t>
  </si>
  <si>
    <t>NFR-6205b</t>
  </si>
  <si>
    <r>
      <t>Last update</t>
    </r>
    <r>
      <rPr>
        <sz val="11"/>
        <color theme="1"/>
        <rFont val="Calibri"/>
        <family val="2"/>
        <scheme val="minor"/>
      </rPr>
      <t xml:space="preserve"> </t>
    </r>
    <r>
      <rPr>
        <sz val="8"/>
        <color theme="1"/>
        <rFont val="Calibri"/>
        <family val="2"/>
        <scheme val="minor"/>
      </rPr>
      <t>(dd/mm/yyyy)</t>
    </r>
  </si>
  <si>
    <r>
      <t>Last control</t>
    </r>
    <r>
      <rPr>
        <sz val="11"/>
        <color theme="1"/>
        <rFont val="Calibri"/>
        <family val="2"/>
        <scheme val="minor"/>
      </rPr>
      <t xml:space="preserve"> </t>
    </r>
    <r>
      <rPr>
        <sz val="8"/>
        <color theme="1"/>
        <rFont val="Calibri"/>
        <family val="2"/>
        <scheme val="minor"/>
      </rPr>
      <t>(dd/mm/yyyy)</t>
    </r>
  </si>
  <si>
    <t>Problem detected by CHKsec</t>
  </si>
  <si>
    <t>Display parameters:</t>
  </si>
  <si>
    <t>Used to identify</t>
  </si>
  <si>
    <t>Used to show or hide</t>
  </si>
  <si>
    <t>The first box is used to show/ hide requirements when they are set as not relevant by the filter.</t>
  </si>
  <si>
    <t>Empty</t>
  </si>
  <si>
    <t>Written</t>
  </si>
  <si>
    <t>Validated</t>
  </si>
  <si>
    <t>Protection must be enhanced when data backups or archives are stored by a third party</t>
  </si>
  <si>
    <t>NFR-6207a</t>
  </si>
  <si>
    <t>NFR-6207b</t>
  </si>
  <si>
    <t>To be defined</t>
  </si>
  <si>
    <t>Supplier contract</t>
  </si>
  <si>
    <t>When a penetration test is needed</t>
  </si>
  <si>
    <t>PFA, POA</t>
  </si>
  <si>
    <t>The usage of the system through the PSALib' environment must be operational (technical and organization aspects)</t>
  </si>
  <si>
    <t>Treatment of non-critical security vulnerabilities is done as soon as possible</t>
  </si>
  <si>
    <t>Treatment of critical security vulnerabilities is done as soon as possible without exceeding 10 days, driven by a safety crisis cell</t>
  </si>
  <si>
    <t>Access to application must be closed when outside of users' working hours</t>
  </si>
  <si>
    <t>Useful links</t>
  </si>
  <si>
    <t>Tools</t>
  </si>
  <si>
    <t>REDEX</t>
  </si>
  <si>
    <t>REFANOM</t>
  </si>
  <si>
    <t>CTR - Real Time Changes</t>
  </si>
  <si>
    <t>IT studies on-call is operational</t>
  </si>
  <si>
    <t>1.4</t>
  </si>
  <si>
    <t>Compliance</t>
  </si>
  <si>
    <t>The system use authorized hardware, products and infrastructure services, and meet group codification standards.</t>
  </si>
  <si>
    <t>NFR-3102</t>
  </si>
  <si>
    <t>Except derogation, the system uses the up to date certified technical stack</t>
  </si>
  <si>
    <t>Technical maintenance ranges can be automatically used to reboot VM, deploy patches or others usage by IT.</t>
  </si>
  <si>
    <t>When necessary</t>
  </si>
  <si>
    <t>QOS tracking of the application</t>
  </si>
  <si>
    <t>Incidents or changes</t>
  </si>
  <si>
    <t>The system must be designed to be installed on any environment corresponding to the defined technical architecture</t>
  </si>
  <si>
    <t>NFR-1401</t>
  </si>
  <si>
    <t>Data Privacy</t>
  </si>
  <si>
    <t>In case of Personal Data (Data Privacy), to be considered according the risks on the natural person (alteration of personal data).</t>
  </si>
  <si>
    <t>In case of Personal Data (Data Privacy), to be considered according the risks on the natural person (non authorized disclosure of personal data).</t>
  </si>
  <si>
    <t>NFR-1402</t>
  </si>
  <si>
    <t>NFR-1403</t>
  </si>
  <si>
    <t>NFR-1404</t>
  </si>
  <si>
    <t>NFR-1405</t>
  </si>
  <si>
    <t>NFR-1406</t>
  </si>
  <si>
    <t>NFR-1407</t>
  </si>
  <si>
    <t>Version of the Functional Specifications Dossier in the reference configuration</t>
  </si>
  <si>
    <t>Check CNIL website</t>
  </si>
  <si>
    <t>Standard Contractual Clauses</t>
  </si>
  <si>
    <t>Standard Contractual Clauses signed by the supplier</t>
  </si>
  <si>
    <t>Before choosing a non-EU supplier, ensure that the supplier has signed the "Standard Contractual Clauses" (SCC) of the European Union.</t>
  </si>
  <si>
    <t>Check the anonymized or pseudonymized data sets</t>
  </si>
  <si>
    <t>Prestudy CO dossier</t>
  </si>
  <si>
    <r>
      <t xml:space="preserve">If I and C &lt; 3, only the code analysis is mandatory.
</t>
    </r>
    <r>
      <rPr>
        <sz val="11"/>
        <rFont val="Calibri"/>
        <family val="2"/>
        <scheme val="minor"/>
      </rPr>
      <t>Mandatory in case of Personal Data with high risk for natural person.</t>
    </r>
  </si>
  <si>
    <t>The information on the system are up to date in the record of processing register ("data protection authority" declaration)</t>
  </si>
  <si>
    <t>The details of personal data used are defined, including data minimization and retention period</t>
  </si>
  <si>
    <t>A complete Privacy Impact Assessment (PIA) risk analysis on personal data has been conducted</t>
  </si>
  <si>
    <t>The exercise of the rights of the natural person on their personal data are specified</t>
  </si>
  <si>
    <t>A high level description and risk analysis on personal data has been conducted on the prestudy scope</t>
  </si>
  <si>
    <t>Records of processing</t>
  </si>
  <si>
    <t>The test environments (including preproductions) use anonymized or pseudonymized data</t>
  </si>
  <si>
    <t>The development quality acceptance criteria (evaluated by the qualimetric platform) must be respected</t>
  </si>
  <si>
    <t>Comments / Valorization</t>
  </si>
  <si>
    <t>When intending to work with a non-EU supplier, the supplier must accept the EU legal obligations</t>
  </si>
  <si>
    <t>Repository management</t>
  </si>
  <si>
    <t>Operational management (BUILD and RUN)</t>
  </si>
  <si>
    <t>Cases of dispensation</t>
  </si>
  <si>
    <t>Description</t>
  </si>
  <si>
    <t>Not feasible</t>
  </si>
  <si>
    <t>The personal data sent to a subcontractor for developments or tests purpose are anonymized or pseudonymized. If real data is mandatory, a data protection agreement must be signed</t>
  </si>
  <si>
    <t>For more information, please consult the e-learning about the non-functional requirements management.</t>
  </si>
  <si>
    <t>Data privacy, Security</t>
  </si>
  <si>
    <t xml:space="preserve">If real data are mandatory, all servers containing personal or confidential data must implement all "data privacy" non-functional requirements. </t>
  </si>
  <si>
    <t>The system is monitored and generate automatically incidents to the good entities</t>
  </si>
  <si>
    <t>NFR-5108</t>
  </si>
  <si>
    <t>Any new application or any new applicative occurrence or major evolution must use IndusGen tools</t>
  </si>
  <si>
    <t>IndusGen Update</t>
  </si>
  <si>
    <t>Analyse the risks of a new processing. The risks concern the impacts on the data subjects (Persons) if the personal data were destroyed, modified (loss of integrity) or involuntary disclosed.</t>
  </si>
  <si>
    <t>Collect only personal data that is strictly necessary for the defined purpose(s). A maximal retention period must be fixed, after which personal data must be destroyed or anonymized in a secure, irreversible way.</t>
  </si>
  <si>
    <t>Conduct a risk analysis (see NFR-1401), when the risk is high (E,F) a Data iProtection Impact Assessment (DPIA), must be done to analyse the risks of the new processing and determine the measures to be implemented to avoid and minimize the impacts.</t>
  </si>
  <si>
    <t>Check if the new project/processing can be associated to one or more existing processing in the Group’s register “records of processing”.</t>
  </si>
  <si>
    <t>Implement the adequate technical or organisational features, in order to facilitate the exercise of his rights by a data subject (end user). The rights of the natural persons in the GDPR: access, rectification, erasure, restriction, portability…</t>
  </si>
  <si>
    <t>Make sure that the data sent to a subcontractor  for development or testing are anonymized or pseudonymised.
When a real risk for data subject is proven for a processing and when data anonymization is not possible, a way of reducing the risk for data subject is the pseudonymization.
If real data is mandatory, a data protection agreement must be signed.</t>
  </si>
  <si>
    <t>Statement of needs</t>
  </si>
  <si>
    <t>DPIA French CNIL’s Tool</t>
  </si>
  <si>
    <t>Testing Data Set 
Data Protection Agreement</t>
  </si>
  <si>
    <t>Processing Owner, DPO, RCIR</t>
  </si>
  <si>
    <t>Supplier contract manager</t>
  </si>
  <si>
    <t>IRUN/IMBC or SIBS/SEDE</t>
  </si>
  <si>
    <t>Revision index</t>
  </si>
  <si>
    <t>Version</t>
  </si>
  <si>
    <t>Date</t>
  </si>
  <si>
    <t>Writer</t>
  </si>
  <si>
    <t>Update</t>
  </si>
  <si>
    <t>P.Bronsin</t>
  </si>
  <si>
    <t>First version</t>
  </si>
  <si>
    <t>Update about personal data requirements in chapter 1.4 "Compliance"</t>
  </si>
  <si>
    <t>Change of all links to requirements details, to link them to DocInfo files instead of ITE web site</t>
  </si>
  <si>
    <t>IT-PM</t>
  </si>
  <si>
    <t>Processing Owner, DPO, IT-PM</t>
  </si>
  <si>
    <t>ITE-TN, IT-PM, CPRA, ARF, RTECH</t>
  </si>
  <si>
    <t>IT-PM, EXP, RTECH</t>
  </si>
  <si>
    <t>IT-PM, ART, ARF</t>
  </si>
  <si>
    <t>B-PM</t>
  </si>
  <si>
    <t>ASI, B-PM</t>
  </si>
  <si>
    <t>Ask B-PM for the compliance audit</t>
  </si>
  <si>
    <t>B-PM, RTST</t>
  </si>
  <si>
    <t>B-PM, TPM, ITE-TN</t>
  </si>
  <si>
    <t>Ask to B-PM</t>
  </si>
  <si>
    <t>Ask to B-PM / PFA</t>
  </si>
  <si>
    <t xml:space="preserve"> B-PM, ASI, RTST, POA</t>
  </si>
  <si>
    <t>B-PM, ASI, RTECH, TPM, DEV, ITE-TN</t>
  </si>
  <si>
    <t>B-PM, ASI</t>
  </si>
  <si>
    <t>Defined
(DEF-J2)</t>
  </si>
  <si>
    <t>Func-Designed
(F-DES-J3)</t>
  </si>
  <si>
    <t>Tech-Designed
(T-DES-J5)</t>
  </si>
  <si>
    <t>Developed
(DEV-J7)</t>
  </si>
  <si>
    <t>IT-Tested
(IT-TST-J8)</t>
  </si>
  <si>
    <t>Go Live
(GLV-J9)</t>
  </si>
  <si>
    <t>Delivered
(DEL-J10ITE)</t>
  </si>
  <si>
    <t>Ended
(END-J10)</t>
  </si>
  <si>
    <t>Change DICT check with Data privacy according to STSS03 update</t>
  </si>
  <si>
    <t>Technical architecture dossier, Design dossier, Liaison &amp; Technical Integration File</t>
  </si>
  <si>
    <t>Liaison &amp; Technical Integration File</t>
  </si>
  <si>
    <t>Design dossier, Liaison &amp; Technical Integration File</t>
  </si>
  <si>
    <t>Technical architecture dossier, Liaison &amp; Technical Integration File</t>
  </si>
  <si>
    <t>Liaison &amp; Technical Integration File, shut-down and restart GAOP(s)</t>
  </si>
  <si>
    <t>Components, Liaison &amp; Technical Integration File</t>
  </si>
  <si>
    <t>Liaison &amp; Technical Integration File, REFLEX</t>
  </si>
  <si>
    <t>Liaison &amp; Technical Integration File, PRA dossier, REFLEX, Crisis Management Dossier, Operation document (including FICA, GAOP, CONS, …), System functional maps</t>
  </si>
  <si>
    <t>NFR-6302</t>
  </si>
  <si>
    <t>Technical integration</t>
  </si>
  <si>
    <t>Technical architecture dossier, Technical integration strategy</t>
  </si>
  <si>
    <t>Technical integration strategy, Liaison &amp; Technical Integration File, recovery GAOP(s)</t>
  </si>
  <si>
    <t>Technical integration, Infrastructure</t>
  </si>
  <si>
    <t>Security, Technical integration, DRP referent</t>
  </si>
  <si>
    <t>Technical integration, DRP referent</t>
  </si>
  <si>
    <t>Security, Technical integration</t>
  </si>
  <si>
    <t>The two other boxes are used to show / hide requirements regarding the responsible role. "Business and BIS requirements" are requirements where IT-PM or B-PM are responsible, "Dev and Technical integration requirements" is TPM and ITE-TN responsibility.</t>
  </si>
  <si>
    <t>Actors for Safety and GDPR</t>
  </si>
  <si>
    <t>TPM, ITE-TN</t>
  </si>
  <si>
    <t>7 digits LCDV coding must be implemented on all new application using LCDV codification</t>
  </si>
  <si>
    <t>NFR-1204</t>
  </si>
  <si>
    <t>The LCDV, Common Language of Vehicle Description, is used to describe the vehicle diversity of PSA. It exists since 1985 and has evolved from 5 digits to 7 digits since 2007.</t>
  </si>
  <si>
    <t>System's access rights policy is defined (named owner, access services, ...) and managed</t>
  </si>
  <si>
    <t>Define access rights in functional specification, create the access rights matrix and reference it in REFLEX.</t>
  </si>
  <si>
    <t>Security, Infrastructure</t>
  </si>
  <si>
    <t>B2R ITE Check-List for BUILD, CHKsec for RUN</t>
  </si>
  <si>
    <t>B2R ITE Check-List</t>
  </si>
  <si>
    <r>
      <rPr>
        <u/>
        <sz val="11"/>
        <color theme="1"/>
        <rFont val="Calibri"/>
        <family val="2"/>
        <scheme val="minor"/>
      </rPr>
      <t>System information:</t>
    </r>
    <r>
      <rPr>
        <sz val="11"/>
        <color theme="1"/>
        <rFont val="Calibri"/>
        <family val="2"/>
        <scheme val="minor"/>
      </rPr>
      <t xml:space="preserve"> generic information to identify the system associated to this requirements repository,</t>
    </r>
  </si>
  <si>
    <t>Design dossier</t>
  </si>
  <si>
    <t>Add NFR-1204 about LCDV codification, change name of B2R ITE check, solve a bug about NFR-2201</t>
  </si>
  <si>
    <t>Add NFR-6007 about certificate for servers or proxies exposed on Internet</t>
  </si>
  <si>
    <t>PSASM</t>
  </si>
  <si>
    <t>NFR-6007</t>
  </si>
  <si>
    <t>The users requirements about the system response times are validated with the business and tested</t>
  </si>
  <si>
    <t>NFR-2102</t>
  </si>
  <si>
    <t>NFR-4501</t>
  </si>
  <si>
    <t>Functional Specifications Dossier, Mock-up</t>
  </si>
  <si>
    <t>NFR-4601</t>
  </si>
  <si>
    <t>Functional Specifications Dossier, Technical architecture dossier</t>
  </si>
  <si>
    <t>Special materials (wireless terminal, specific display, …), adapted screen modes (high contrast, …), work offline, …</t>
  </si>
  <si>
    <t>ASI, ART</t>
  </si>
  <si>
    <t>NFR-1101</t>
  </si>
  <si>
    <t>Technical integrators on-call is operational</t>
  </si>
  <si>
    <t>D</t>
  </si>
  <si>
    <t>I</t>
  </si>
  <si>
    <t>C</t>
  </si>
  <si>
    <t>T</t>
  </si>
  <si>
    <t>System criteria:</t>
  </si>
  <si>
    <t>requirements.</t>
  </si>
  <si>
    <t>relevant requirements.</t>
  </si>
  <si>
    <t>Definition</t>
  </si>
  <si>
    <t>Security, Data privacy</t>
  </si>
  <si>
    <t>Change all DocInfo URL to HTTPS, add "System criteria achivements" and "NFR domains achivements" views in the Synthesis</t>
  </si>
  <si>
    <t>The system meets users specific accessibility needs</t>
  </si>
  <si>
    <t>NFR-4101</t>
  </si>
  <si>
    <t>The system meets standard ergonomic rules and business graphic charters</t>
  </si>
  <si>
    <r>
      <t xml:space="preserve">This repository presents all the Non-Functional Requirements (NFR) that all systems must implement in order to work correctly during RUN phase.
The responsible of the repository is the IT-PM during the BUILD, and the PGA during the RUN. But lots of roles are involved in requirements management, implementation and verification. All information about the roles involved on each requirement is detailed in this document, both for BUILD and RUN. </t>
    </r>
    <r>
      <rPr>
        <b/>
        <sz val="11"/>
        <color rgb="FFFF0000"/>
        <rFont val="Calibri"/>
        <family val="2"/>
        <scheme val="minor"/>
      </rPr>
      <t>The repository must be associated with an application</t>
    </r>
    <r>
      <rPr>
        <sz val="11"/>
        <color theme="1"/>
        <rFont val="Calibri"/>
        <family val="2"/>
        <scheme val="minor"/>
      </rPr>
      <t xml:space="preserve">. </t>
    </r>
    <r>
      <rPr>
        <b/>
        <sz val="11"/>
        <color rgb="FFFF0000"/>
        <rFont val="Calibri"/>
        <family val="2"/>
        <scheme val="minor"/>
      </rPr>
      <t>It must be associated to the application in REFLEX</t>
    </r>
    <r>
      <rPr>
        <sz val="11"/>
        <color theme="1"/>
        <rFont val="Calibri"/>
        <family val="2"/>
        <scheme val="minor"/>
      </rPr>
      <t>.
There are also other information available for each requirement. Explanations about each column are written in comments on columns heading cells.
The NFR repository uses a standard classification, based on norm ISO 25010 about requirements management. It is structured in 8 parts: “Functional Suitability”, “Performance efficiency”, “Compatibility”, “Usability”, “Reliability”, “Security”, “Maintainability”, “Portability”. Each part have sub-parts. Some explanation about each part and sub-part are written in comments on parts title cells.</t>
    </r>
  </si>
  <si>
    <t>Global response times, or specific response times for some screens or functions, must be written in the functional specifications.</t>
  </si>
  <si>
    <t>The functional specifications must indicate for each batch the time when the result must be ready to use.</t>
  </si>
  <si>
    <t>No scrolls, access to the functions with 3 clicks, progress bar during long treatments … Must be written in functional specification and shown in mock-up.</t>
  </si>
  <si>
    <t>The scheduling entities results are produced on time</t>
  </si>
  <si>
    <t>The system proposes useful languages for the user interface</t>
  </si>
  <si>
    <t>The functional specifications must indicate retention period and archiving needs for all data witch need this information.</t>
  </si>
  <si>
    <t>Technical integration, Data privacy, Project methodology</t>
  </si>
  <si>
    <t>Suppression of specific requirements management (replaced by 5 new NFR to remember the job to be done in other deliverables)</t>
  </si>
  <si>
    <t>TCC dossier</t>
  </si>
  <si>
    <t>ITE-TN, RTECH</t>
  </si>
  <si>
    <t>ITE-TN, ART</t>
  </si>
  <si>
    <t>ART, ITE-TN</t>
  </si>
  <si>
    <t>PGA, ITE-TN</t>
  </si>
  <si>
    <t>ITE-VCO, ITE-TN</t>
  </si>
  <si>
    <t>PGA, COORD-CHGT, RDSM, ITE-TN</t>
  </si>
  <si>
    <t>PGA, TPM, PTA</t>
  </si>
  <si>
    <t>ITE-VCO (+ ITE/TN from J9 to J10-ITE)</t>
  </si>
  <si>
    <t>B-PM, ITE-TN</t>
  </si>
  <si>
    <t>ITE-TN (+RTECH if needed)</t>
  </si>
  <si>
    <t>ITE-TN, OPE</t>
  </si>
  <si>
    <t>CPRA, ART, RTECH, ITE-TN</t>
  </si>
  <si>
    <t>RTECH, ITE-TN, TPM, DEV</t>
  </si>
  <si>
    <t>ITE-VCO, RTECH, PTA, DEV</t>
  </si>
  <si>
    <t>ITE-TN, RTECH, TPM, DEV</t>
  </si>
  <si>
    <t>TPM, DEV, ITE-TN, RTECH</t>
  </si>
  <si>
    <t>ART, TFA, DEV, ITE-TN, RTECH</t>
  </si>
  <si>
    <t>ART, ITE-TN, RTECH</t>
  </si>
  <si>
    <t>DEV, ITE-TN, RTECH</t>
  </si>
  <si>
    <t>Ask to PGA</t>
  </si>
  <si>
    <t>Ask to ITE-VCO</t>
  </si>
  <si>
    <t>Ask to RDSM</t>
  </si>
  <si>
    <t>Ask to ITE-TN</t>
  </si>
  <si>
    <t>Ask to PGA / PTA</t>
  </si>
  <si>
    <t>Ask to DEV</t>
  </si>
  <si>
    <t>Ask to TPM</t>
  </si>
  <si>
    <t>Ask EXP</t>
  </si>
  <si>
    <t>Check the anonymized or pseudonymized data sets, 
ask RTST</t>
  </si>
  <si>
    <t>B2R ITE Check-List + Visa IT-PM (for System functional maps)</t>
  </si>
  <si>
    <t>NFR repository</t>
  </si>
  <si>
    <t>All columns are read only except 4 columns in "Operational Management (BUILD and RUN)" group.</t>
  </si>
  <si>
    <t>Contains all NFR to be implementend on IT systems (to be filtered regarding system's context written in Synthesis sheet).</t>
  </si>
  <si>
    <r>
      <t xml:space="preserve">Requirements are already written, </t>
    </r>
    <r>
      <rPr>
        <sz val="11"/>
        <color rgb="FFFF0000"/>
        <rFont val="Calibri"/>
        <family val="2"/>
        <scheme val="minor"/>
      </rPr>
      <t xml:space="preserve">you </t>
    </r>
    <r>
      <rPr>
        <b/>
        <u/>
        <sz val="14"/>
        <color rgb="FFFF0000"/>
        <rFont val="Calibri"/>
        <family val="2"/>
        <scheme val="minor"/>
      </rPr>
      <t>can't</t>
    </r>
    <r>
      <rPr>
        <sz val="11"/>
        <color rgb="FFFF0000"/>
        <rFont val="Calibri"/>
        <family val="2"/>
        <scheme val="minor"/>
      </rPr>
      <t xml:space="preserve"> add, remove or modify NFR</t>
    </r>
    <r>
      <rPr>
        <sz val="11"/>
        <color theme="1"/>
        <rFont val="Calibri"/>
        <family val="2"/>
        <scheme val="minor"/>
      </rPr>
      <t>.</t>
    </r>
  </si>
  <si>
    <r>
      <rPr>
        <u/>
        <sz val="11"/>
        <color theme="1"/>
        <rFont val="Calibri"/>
        <family val="2"/>
        <scheme val="minor"/>
      </rPr>
      <t>Requirements Status:</t>
    </r>
    <r>
      <rPr>
        <sz val="11"/>
        <color theme="1"/>
        <rFont val="Calibri"/>
        <family val="2"/>
        <scheme val="minor"/>
      </rPr>
      <t xml:space="preserve"> tables and charts to have a global view on NFR implementation.</t>
    </r>
  </si>
  <si>
    <t>Change templates in PSASM</t>
  </si>
  <si>
    <t>NFR Statuses global view:</t>
  </si>
  <si>
    <t>Only relevant requirements are taken into account.</t>
  </si>
  <si>
    <t>During the IT CO Go-Live, the non-implementation of any security NFR must be validated by the right CRIS member. If the application is sensitive (DICT&gt;=3), the RDMI must also validate.</t>
  </si>
  <si>
    <t>Guide</t>
  </si>
  <si>
    <t>NFR-6008</t>
  </si>
  <si>
    <t>Servers or proxies exposed on Internet should use certificates issued by certificate authorities known by default</t>
  </si>
  <si>
    <t>The usage of specific certification authority or specific installations should be avoided.</t>
  </si>
  <si>
    <t>Development support</t>
  </si>
  <si>
    <t>Security contacts</t>
  </si>
  <si>
    <t>Technical integration contacts</t>
  </si>
  <si>
    <t>Meteor-IT contacts</t>
  </si>
  <si>
    <t>Min C</t>
  </si>
  <si>
    <t>Min T</t>
  </si>
  <si>
    <t>A</t>
  </si>
  <si>
    <t>B</t>
  </si>
  <si>
    <t>E</t>
  </si>
  <si>
    <t>DICT, RTO and data privacy</t>
  </si>
  <si>
    <t>Will set the "Relevant" column to "Yes" or "No" for all NFR. It uses system parameters and data in "DICT, RTO and data privacy" columns section in "NFR repository" sheet to identify relevant requirements.</t>
  </si>
  <si>
    <t>Min I</t>
  </si>
  <si>
    <t>Data privacy risk level</t>
  </si>
  <si>
    <t>DP risk level</t>
  </si>
  <si>
    <t>This sheet contains 3 kinds of information:</t>
  </si>
  <si>
    <r>
      <rPr>
        <u/>
        <sz val="11"/>
        <color theme="1"/>
        <rFont val="Calibri"/>
        <family val="2"/>
        <scheme val="minor"/>
      </rPr>
      <t>System parameters:</t>
    </r>
    <r>
      <rPr>
        <sz val="11"/>
        <color theme="1"/>
        <rFont val="Calibri"/>
        <family val="2"/>
        <scheme val="minor"/>
      </rPr>
      <t xml:space="preserve"> context of the system (Data privacy risk level, DICT, RTO), used to identify the relevant requirements,</t>
    </r>
  </si>
  <si>
    <t>NFR are written by transversal teams. For each mandatory requirement, the team responsible of its definition and all details about its implementation is indicated.</t>
  </si>
  <si>
    <t>Modification of the GDPR risks level management and the DICT, alignment with STSSI-003 and DSSI-04 modifications about GDPR</t>
  </si>
  <si>
    <t>The system uses “Strong” method to authenticate users for writing</t>
  </si>
  <si>
    <t>The system authenticates users for writing</t>
  </si>
  <si>
    <t>The system authenticates functional or technical administrators</t>
  </si>
  <si>
    <t>The system authenticates users</t>
  </si>
  <si>
    <t>All exchanges must be encrypted</t>
  </si>
  <si>
    <t>NFR-6505c</t>
  </si>
  <si>
    <t>Security, SOX</t>
  </si>
  <si>
    <t>Technical integration, SOX</t>
  </si>
  <si>
    <t>Security, Technical integration, SOX</t>
  </si>
  <si>
    <t>Security, Data privacy, SOX</t>
  </si>
  <si>
    <t>The system uses at least "Strong" method for all access from an environment not under PSA control</t>
  </si>
  <si>
    <t>NFR-6507i</t>
  </si>
  <si>
    <t>NFR-6009</t>
  </si>
  <si>
    <t>NFR-6508</t>
  </si>
  <si>
    <t>NFR-6509</t>
  </si>
  <si>
    <t>IT-PM can set the status to "Not relevant" if there is no sessions management</t>
  </si>
  <si>
    <t>SOX</t>
  </si>
  <si>
    <t>NFR-6208</t>
  </si>
  <si>
    <t>NFR-6209</t>
  </si>
  <si>
    <t>NFR-6117</t>
  </si>
  <si>
    <t>The data hosting in external storage is compliant with the confidentiality of the data</t>
  </si>
  <si>
    <t>The traceability chart corresponding to Business's traceability requirements (which are mandatory) is defined</t>
  </si>
  <si>
    <t>NFR-7004</t>
  </si>
  <si>
    <t>The Cloud-Native principle must be implemented</t>
  </si>
  <si>
    <t>DEV, ITE-VCO</t>
  </si>
  <si>
    <t>Ask to DEV and ITE-TN</t>
  </si>
  <si>
    <t>Code or Infra evolution</t>
  </si>
  <si>
    <t>The results of the safety compliance checks of the supporting technical environments is compatible with the DICT</t>
  </si>
  <si>
    <t>The user's session must be controlled and protected</t>
  </si>
  <si>
    <t>The integration with the Corporate SOC is set</t>
  </si>
  <si>
    <t>NFR-6404</t>
  </si>
  <si>
    <t>The shelf life of activity logs is at least 1 year</t>
  </si>
  <si>
    <t>The integrity of the code in production must be controlled</t>
  </si>
  <si>
    <t>Testing dossier - Integration</t>
  </si>
  <si>
    <t>Testing dossier - Functional qualification</t>
  </si>
  <si>
    <t>Testing dossier - load performance, creating a reference result, used during RUN to monitor performances evolutions</t>
  </si>
  <si>
    <t>Testing dossier - load performance</t>
  </si>
  <si>
    <t>Testing dossier - Integration, Testing dossier - Functional qualification</t>
  </si>
  <si>
    <t>TCC Dossier, CO Dossier, Testing dossier - Integration</t>
  </si>
  <si>
    <t>Testing dossier - Functional qualification, Liaison &amp; Technical Integration File</t>
  </si>
  <si>
    <t>Part of Testing dossier - Functional qualification</t>
  </si>
  <si>
    <t>Testing dossier - Security qualification</t>
  </si>
  <si>
    <t>Testing dossier - Integration, Liaison &amp; Technical Integration File</t>
  </si>
  <si>
    <t>FIRM</t>
  </si>
  <si>
    <t>CheckSec alert</t>
  </si>
  <si>
    <t>No dispence possible</t>
  </si>
  <si>
    <t>IT-PM can set the status to "Not feasable" if it is not possible due to other constraints (GDPR, local law …)</t>
  </si>
  <si>
    <t>Depend on safety compliance rules</t>
  </si>
  <si>
    <t xml:space="preserve"> Safety compliance check tools (SAFE, CHKSEC, …)</t>
  </si>
  <si>
    <t>IT-PM can set the status to "Not relevant" if the hosting is external</t>
  </si>
  <si>
    <t>Functional Specifications Dossier, Liaison &amp; Technical Integration File</t>
  </si>
  <si>
    <t>B-PM, ASI, TPM, DEV, ITE-TN</t>
  </si>
  <si>
    <t>Rights changes needed</t>
  </si>
  <si>
    <t>The allocation of technical administrators roles is temporary limited and subject to validation</t>
  </si>
  <si>
    <t>IT-PM, ITE-TN</t>
  </si>
  <si>
    <t>RSECU can set the status to "Not relevant" if used protocols are not accepted by the gateway</t>
  </si>
  <si>
    <t>IT-PM can set the status to "Verified" if the hosting is internal (automatically done in this case)</t>
  </si>
  <si>
    <t>IT-PM can set the status to "Not relevant" if real data are mandatory for tests</t>
  </si>
  <si>
    <t>IT-PM can set the status to "Not relevant" if C=2 or 3 and if there is no personal data stored, even temporarily</t>
  </si>
  <si>
    <t>IT-PM can set the status to "Not relevant" if there is no data backups or archives are stored by a third party</t>
  </si>
  <si>
    <t>IT-PM can set the status to "Not relevant" if not relevant regarding the business context (indicated by the B-PM)</t>
  </si>
  <si>
    <t>IT-PM can set the status to "Not relevant" if there is no server or proxy exposed on Internet</t>
  </si>
  <si>
    <t>B-PM can set the status to "Not relevant" if a manual process to check logs is planned</t>
  </si>
  <si>
    <t>IT-PM can set the status to "Not relevant" if no user rights exist for the application</t>
  </si>
  <si>
    <t>B-PM can set the status to "Not relevant" but it is a risk on system stability and performances for operation and maintenance phase</t>
  </si>
  <si>
    <t>IT-PM can set the status to "Not relevant" if there is no batch submited by users in the system</t>
  </si>
  <si>
    <t>IT-PM can set the status to "Not relevant" if there is no hardware managed outside DDCE</t>
  </si>
  <si>
    <t>IT-PM can set the status to "Not relevant" if there is no specific accessibility needs</t>
  </si>
  <si>
    <t>IT-PM can set the status to "Not relevant" if there is no or minimal user interface</t>
  </si>
  <si>
    <t>IT-PM can set the status to "Not relevant" if there is no multilinguism</t>
  </si>
  <si>
    <t>IT-PM can set the status to "Not relevant" if PSALib' is not used by the system</t>
  </si>
  <si>
    <t>IT-PM can set the status to "Not relevant" if there is no IP service</t>
  </si>
  <si>
    <t>IT-PM can set the status to "Not relevant" if the build is a blackbox and risks are supported by the project</t>
  </si>
  <si>
    <t>TPM can set the status to "Verified" if the choosen DBMS do it automaticaly</t>
  </si>
  <si>
    <t>B-PM can set the status to "Not relevant" but it is a risk on system stability and performances.
No dispense possible for personal data</t>
  </si>
  <si>
    <t>IT-PM can set the status to "Not relevant" if there is no personal data sent to any subcontractor</t>
  </si>
  <si>
    <t>IT-PM can set the status to "Not relevant" if there is no non-EU supplier</t>
  </si>
  <si>
    <t>B-PM can set the status to "Not relevant" if no important risk has been identified in the high level risk analysis</t>
  </si>
  <si>
    <t>IT-PM can set the status to "Not relevant" if the LCDV codification is not used in the system</t>
  </si>
  <si>
    <t>IT-PM can set the status to "Not relevant" if there is no processes using a functional date</t>
  </si>
  <si>
    <t>IT-PM can set the status to "Not relevant" if there is no scheduling entities</t>
  </si>
  <si>
    <t>B-PM can set the status to "Not relevant" if there is no Help Desk available for the system</t>
  </si>
  <si>
    <t>IT-PM can set the status to "Not relevant" if there is no business batchs</t>
  </si>
  <si>
    <t>IT-PM can set the status to "Not relevant" if the system is not hosted in the cloud</t>
  </si>
  <si>
    <t>IT-PM can set the status to "Not relevant" if the global quality approach is not available for the used language (ex: Cobol)</t>
  </si>
  <si>
    <t>IT-PM can set the status to "Not relevant" if the used language is not supported</t>
  </si>
  <si>
    <t>Mandatory for all profiles for which it is useful</t>
  </si>
  <si>
    <t>All users (human or technical like batch, …) for who an authentication is needed must be authenticated with the current logical security tool</t>
  </si>
  <si>
    <t xml:space="preserve"> </t>
  </si>
  <si>
    <t>NFR-7005</t>
  </si>
  <si>
    <t>The FINOPS principles must be implemented</t>
  </si>
  <si>
    <t>Security, Data Privacy</t>
  </si>
  <si>
    <t>NFR-1408b</t>
  </si>
  <si>
    <t>NFR-1408a</t>
  </si>
  <si>
    <t xml:space="preserve">ASI, B-PM </t>
  </si>
  <si>
    <t xml:space="preserve">TFA, ITE-TN </t>
  </si>
  <si>
    <t>Validate the deliverable</t>
  </si>
  <si>
    <t>NFR-1409</t>
  </si>
  <si>
    <t>SOX processings must be identified and functionally described</t>
  </si>
  <si>
    <t>SOX processings must be identified and technically described</t>
  </si>
  <si>
    <t>Ask to IT-PM and FINOPS lead</t>
  </si>
  <si>
    <t>IT-PM, FINOPS lead</t>
  </si>
  <si>
    <t>TCC dossier at the end of technical design</t>
  </si>
  <si>
    <t>PGA, FINOPS lead</t>
  </si>
  <si>
    <t>Cost evolution</t>
  </si>
  <si>
    <t>Monthly (billing cycle)</t>
  </si>
  <si>
    <t>IT-PM can set the status to "Verified" if the hosting is internal or on the 3 main cloud providers</t>
  </si>
  <si>
    <t>Source code control, search for vulnerabilities in the code and penetration testing are done</t>
  </si>
  <si>
    <t>DSSE</t>
  </si>
  <si>
    <t>Alignment with new version of DSSI-04: reduction of exposure area (FW), encryption (HTTPS), account protection, strong authentication (OTP, IDP)…
Addition of 2 new NFR about cloud native requirements and FINOPS principles
Addition of the SOX criteria in the Synthesis and update of the NFR list for SOX (3 new NFR and update on others)</t>
  </si>
  <si>
    <r>
      <rPr>
        <b/>
        <sz val="11"/>
        <color theme="1"/>
        <rFont val="Calibri"/>
        <family val="2"/>
        <scheme val="minor"/>
      </rPr>
      <t>DICT criteria achivements:</t>
    </r>
    <r>
      <rPr>
        <sz val="11"/>
        <color theme="1"/>
        <rFont val="Calibri"/>
        <family val="2"/>
        <scheme val="minor"/>
      </rPr>
      <t xml:space="preserve">
Number of relevant NFR for each status and for each criteria.
(Some NFR impact more than 1 criteria)</t>
    </r>
  </si>
  <si>
    <r>
      <rPr>
        <b/>
        <sz val="11"/>
        <color theme="1"/>
        <rFont val="Calibri"/>
        <family val="2"/>
        <scheme val="minor"/>
      </rPr>
      <t>NFR domains achivements:</t>
    </r>
    <r>
      <rPr>
        <sz val="11"/>
        <color theme="1"/>
        <rFont val="Calibri"/>
        <family val="2"/>
        <scheme val="minor"/>
      </rPr>
      <t xml:space="preserve">
Number of relevant NFR for each status and for each domain.
(Some NFR impact more than 1 domain)</t>
    </r>
  </si>
  <si>
    <t>SOX main contacts</t>
  </si>
  <si>
    <t>IT-PM can set the status to "Not relevant" if there is no external storage</t>
  </si>
  <si>
    <t>Infrastructure, SOX</t>
  </si>
  <si>
    <t>NFR-1410</t>
  </si>
  <si>
    <t>The configuration of the database must respect the SOX compliance rules</t>
  </si>
  <si>
    <t>The configuration of the OS must respect the SOX compliance rules</t>
  </si>
  <si>
    <t>Validation by SOX infra team</t>
  </si>
  <si>
    <t>NFR-1411</t>
  </si>
  <si>
    <t>SOX Schedulers should be properly configured</t>
  </si>
  <si>
    <t>NFR-6303</t>
  </si>
  <si>
    <t>SOX logs must be properly generated and retention included</t>
  </si>
  <si>
    <t>SOX Access right and segregation of duties are properly implemented</t>
  </si>
  <si>
    <t>All accounts are in TAM with justified owners and readers. Description is clear and password respect security rules.</t>
  </si>
  <si>
    <t>Access to the application is following Stellantis security policies and password policies. Segregation of duties between developers and run team is ensure via proper control of accesses to Production.</t>
  </si>
  <si>
    <t>Usage of $Universe only - no crontab for critical job - job logs - incident generated in case failure for critical jobs.</t>
  </si>
  <si>
    <t>Test of restoration mandatory with IPE.</t>
  </si>
  <si>
    <t>Indicate in the functional specifications all available HMI languages and the ways to select the good one (automatic using OS language, flags, ...).</t>
  </si>
  <si>
    <t>OS, DB, MW versions for the impacted infrastructure under good support and not being close to EOS datest.</t>
  </si>
  <si>
    <t>DB must be integrated with Stellantis security tools and following SOX compliance rules.</t>
  </si>
  <si>
    <t>OS must be implemented following SOX compliance rules .</t>
  </si>
  <si>
    <t>DLTI - Critical JOBS - Change log - LDAP Configuration. Usage of the current model of DLTI.</t>
  </si>
  <si>
    <t>New NFR and updated NFR for SOX</t>
  </si>
  <si>
    <t>Project methodology, Technical integration, Infrastructure, SOX</t>
  </si>
  <si>
    <t>DP-MD18-EN_Non-Functional_Requirements V11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</si>
</sst>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yy;@"/>
  </numFmts>
  <fonts count="39" x14ac:knownFonts="1">
    <font>
      <sz val="11"/>
      <color theme="1"/>
      <name val="Calibri"/>
      <family val="2"/>
      <scheme val="minor"/>
    </font>
    <font>
      <b/>
      <sz val="11"/>
      <color theme="1"/>
      <name val="Calibri"/>
      <family val="2"/>
      <scheme val="minor"/>
    </font>
    <font>
      <sz val="10"/>
      <color theme="1"/>
      <name val="Calibri"/>
      <family val="2"/>
      <scheme val="minor"/>
    </font>
    <font>
      <b/>
      <sz val="18"/>
      <color theme="1"/>
      <name val="Calibri"/>
      <family val="2"/>
      <scheme val="minor"/>
    </font>
    <font>
      <b/>
      <sz val="10"/>
      <name val="Arial"/>
      <family val="2"/>
    </font>
    <font>
      <sz val="10"/>
      <name val="Arial"/>
      <family val="2"/>
    </font>
    <font>
      <sz val="9"/>
      <color indexed="81"/>
      <name val="Tahoma"/>
      <family val="2"/>
    </font>
    <font>
      <b/>
      <sz val="9"/>
      <color indexed="81"/>
      <name val="Tahoma"/>
      <family val="2"/>
    </font>
    <font>
      <b/>
      <u/>
      <sz val="9"/>
      <color indexed="81"/>
      <name val="Tahoma"/>
      <family val="2"/>
    </font>
    <font>
      <sz val="10"/>
      <name val="Calibri"/>
      <family val="2"/>
      <scheme val="minor"/>
    </font>
    <font>
      <b/>
      <sz val="10"/>
      <color theme="1"/>
      <name val="Calibri"/>
      <family val="2"/>
      <scheme val="minor"/>
    </font>
    <font>
      <b/>
      <sz val="11"/>
      <color rgb="FFE26B0A"/>
      <name val="Calibri"/>
      <family val="2"/>
      <scheme val="minor"/>
    </font>
    <font>
      <b/>
      <sz val="11"/>
      <color theme="0"/>
      <name val="Calibri"/>
      <family val="2"/>
      <scheme val="minor"/>
    </font>
    <font>
      <sz val="11"/>
      <name val="Calibri"/>
      <family val="2"/>
      <scheme val="minor"/>
    </font>
    <font>
      <b/>
      <sz val="22"/>
      <color rgb="FFFF0000"/>
      <name val="Calibri"/>
      <family val="2"/>
      <scheme val="minor"/>
    </font>
    <font>
      <b/>
      <sz val="11"/>
      <name val="Calibri"/>
      <family val="2"/>
      <scheme val="minor"/>
    </font>
    <font>
      <b/>
      <sz val="11"/>
      <color rgb="FF000000"/>
      <name val="Calibri"/>
      <family val="2"/>
      <scheme val="minor"/>
    </font>
    <font>
      <u/>
      <sz val="11"/>
      <color theme="10"/>
      <name val="Calibri"/>
      <family val="2"/>
      <scheme val="minor"/>
    </font>
    <font>
      <b/>
      <sz val="10"/>
      <name val="Calibri"/>
      <family val="2"/>
      <scheme val="minor"/>
    </font>
    <font>
      <b/>
      <u/>
      <sz val="10"/>
      <color indexed="12"/>
      <name val="Calibri"/>
      <family val="2"/>
      <scheme val="minor"/>
    </font>
    <font>
      <sz val="10"/>
      <color theme="1"/>
      <name val="Arial"/>
      <family val="2"/>
    </font>
    <font>
      <b/>
      <sz val="12"/>
      <color theme="1"/>
      <name val="Calibri"/>
      <family val="2"/>
      <scheme val="minor"/>
    </font>
    <font>
      <b/>
      <sz val="6"/>
      <color theme="1"/>
      <name val="Calibri"/>
      <family val="2"/>
      <scheme val="minor"/>
    </font>
    <font>
      <b/>
      <sz val="10"/>
      <color theme="1"/>
      <name val="Arial"/>
      <family val="2"/>
    </font>
    <font>
      <sz val="11"/>
      <color rgb="FFFF0000"/>
      <name val="Calibri"/>
      <family val="2"/>
      <scheme val="minor"/>
    </font>
    <font>
      <b/>
      <sz val="11"/>
      <color rgb="FF000000"/>
      <name val="Calibri"/>
      <family val="2"/>
    </font>
    <font>
      <b/>
      <sz val="8"/>
      <color indexed="81"/>
      <name val="Tahoma"/>
      <family val="2"/>
    </font>
    <font>
      <sz val="8"/>
      <color rgb="FF000000"/>
      <name val="Segoe UI"/>
      <family val="2"/>
    </font>
    <font>
      <b/>
      <u/>
      <sz val="14"/>
      <color rgb="FFFF0000"/>
      <name val="Calibri"/>
      <family val="2"/>
      <scheme val="minor"/>
    </font>
    <font>
      <b/>
      <sz val="14"/>
      <color rgb="FF0070C0"/>
      <name val="Calibri"/>
      <family val="2"/>
      <scheme val="minor"/>
    </font>
    <font>
      <sz val="11"/>
      <color theme="1"/>
      <name val="Calibri"/>
      <family val="2"/>
      <scheme val="minor"/>
    </font>
    <font>
      <sz val="8"/>
      <color theme="1"/>
      <name val="Calibri"/>
      <family val="2"/>
      <scheme val="minor"/>
    </font>
    <font>
      <b/>
      <sz val="14"/>
      <color theme="1"/>
      <name val="Calibri"/>
      <family val="2"/>
      <scheme val="minor"/>
    </font>
    <font>
      <b/>
      <sz val="20"/>
      <color rgb="FF0070C0"/>
      <name val="Calibri"/>
      <family val="2"/>
      <scheme val="minor"/>
    </font>
    <font>
      <b/>
      <sz val="11"/>
      <color rgb="FFFF0000"/>
      <name val="Calibri"/>
      <family val="2"/>
      <scheme val="minor"/>
    </font>
    <font>
      <u/>
      <sz val="11"/>
      <color theme="1"/>
      <name val="Calibri"/>
      <family val="2"/>
      <scheme val="minor"/>
    </font>
    <font>
      <b/>
      <sz val="24"/>
      <color rgb="FF0070C0"/>
      <name val="Calibri"/>
      <family val="2"/>
      <scheme val="minor"/>
    </font>
    <font>
      <b/>
      <sz val="18"/>
      <color rgb="FF0070C0"/>
      <name val="Calibri"/>
      <family val="2"/>
      <scheme val="minor"/>
    </font>
    <font>
      <b/>
      <u/>
      <sz val="11"/>
      <color rgb="FF0000FF"/>
      <name val="Calibri"/>
      <family val="2"/>
      <scheme val="minor"/>
    </font>
  </fonts>
  <fills count="21">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CC99FF"/>
        <bgColor indexed="64"/>
      </patternFill>
    </fill>
    <fill>
      <patternFill patternType="solid">
        <fgColor rgb="FFE3D5FF"/>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00FF00"/>
        <bgColor indexed="64"/>
      </patternFill>
    </fill>
    <fill>
      <patternFill patternType="solid">
        <fgColor rgb="FFB4FF00"/>
        <bgColor indexed="64"/>
      </patternFill>
    </fill>
    <fill>
      <patternFill patternType="solid">
        <fgColor rgb="FFC8FFC8"/>
        <bgColor indexed="64"/>
      </patternFill>
    </fill>
    <fill>
      <patternFill patternType="solid">
        <fgColor rgb="FFFFFFC8"/>
        <bgColor indexed="64"/>
      </patternFill>
    </fill>
    <fill>
      <patternFill patternType="solid">
        <fgColor rgb="FFC8FFFF"/>
        <bgColor indexed="64"/>
      </patternFill>
    </fill>
    <fill>
      <patternFill patternType="solid">
        <fgColor theme="0" tint="-4.9989318521683403E-2"/>
        <bgColor indexed="64"/>
      </patternFill>
    </fill>
    <fill>
      <patternFill patternType="solid">
        <fgColor rgb="FFFFE696"/>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top/>
      <bottom/>
      <diagonal/>
    </border>
    <border>
      <left/>
      <right style="thin">
        <color indexed="64"/>
      </right>
      <top/>
      <bottom/>
      <diagonal/>
    </border>
    <border>
      <left style="thin">
        <color indexed="64"/>
      </left>
      <right/>
      <top/>
      <bottom/>
      <diagonal/>
    </border>
    <border>
      <left/>
      <right/>
      <top/>
      <bottom style="medium">
        <color indexed="64"/>
      </bottom>
      <diagonal/>
    </border>
    <border>
      <left/>
      <right/>
      <top style="thin">
        <color indexed="64"/>
      </top>
      <bottom/>
      <diagonal/>
    </border>
    <border>
      <left/>
      <right/>
      <top/>
      <bottom style="thin">
        <color indexed="64"/>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s>
  <cellStyleXfs count="2">
    <xf numFmtId="0" fontId="0" fillId="0" borderId="0"/>
    <xf numFmtId="0" fontId="17" fillId="0" borderId="0" applyNumberFormat="0" applyFill="0" applyBorder="0" applyAlignment="0" applyProtection="0"/>
  </cellStyleXfs>
  <cellXfs count="370">
    <xf numFmtId="0" fontId="0" fillId="0" borderId="0" xfId="0"/>
    <xf numFmtId="0" fontId="0" fillId="3" borderId="0" xfId="0" applyFill="1"/>
    <xf numFmtId="0" fontId="0" fillId="3" borderId="0" xfId="0" applyFill="1" applyBorder="1"/>
    <xf numFmtId="0" fontId="2" fillId="0" borderId="1" xfId="0" applyFont="1" applyBorder="1" applyAlignment="1">
      <alignment horizontal="center" vertical="center" wrapText="1"/>
    </xf>
    <xf numFmtId="0" fontId="0" fillId="5" borderId="1" xfId="0" applyFill="1" applyBorder="1" applyAlignment="1">
      <alignment horizontal="center" vertical="center" wrapText="1"/>
    </xf>
    <xf numFmtId="0" fontId="4" fillId="0" borderId="0" xfId="0" applyFont="1" applyAlignment="1">
      <alignment horizontal="center" vertical="center" wrapText="1"/>
    </xf>
    <xf numFmtId="0" fontId="5" fillId="0" borderId="0" xfId="0" applyFont="1" applyAlignment="1">
      <alignment horizontal="center" vertical="center"/>
    </xf>
    <xf numFmtId="0" fontId="0" fillId="0" borderId="0" xfId="0" applyAlignment="1">
      <alignment horizontal="center" vertical="center"/>
    </xf>
    <xf numFmtId="0" fontId="0" fillId="3" borderId="0" xfId="0" applyFill="1" applyBorder="1" applyAlignment="1">
      <alignment wrapText="1"/>
    </xf>
    <xf numFmtId="0" fontId="0" fillId="0" borderId="0" xfId="0" applyFill="1"/>
    <xf numFmtId="0" fontId="0" fillId="0" borderId="0" xfId="0" applyBorder="1"/>
    <xf numFmtId="0" fontId="2" fillId="0"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2" fillId="3" borderId="0" xfId="0" applyFont="1" applyFill="1" applyBorder="1"/>
    <xf numFmtId="0" fontId="2" fillId="0" borderId="0" xfId="0" applyFont="1"/>
    <xf numFmtId="0" fontId="1" fillId="3" borderId="0" xfId="0" applyFont="1" applyFill="1"/>
    <xf numFmtId="0" fontId="0" fillId="3" borderId="0" xfId="0" applyFill="1" applyAlignment="1">
      <alignment horizontal="center" vertical="center"/>
    </xf>
    <xf numFmtId="0" fontId="1" fillId="11" borderId="7" xfId="0" applyFont="1" applyFill="1" applyBorder="1" applyAlignment="1">
      <alignment horizontal="center" vertical="center"/>
    </xf>
    <xf numFmtId="0" fontId="13" fillId="14" borderId="7" xfId="0" applyFont="1" applyFill="1" applyBorder="1" applyAlignment="1">
      <alignment horizontal="center" vertical="center"/>
    </xf>
    <xf numFmtId="0" fontId="12" fillId="13" borderId="5" xfId="0" applyFont="1" applyFill="1" applyBorder="1" applyAlignment="1">
      <alignment horizontal="center" vertical="center"/>
    </xf>
    <xf numFmtId="0" fontId="1" fillId="15" borderId="7" xfId="0" applyFont="1" applyFill="1" applyBorder="1" applyAlignment="1">
      <alignment horizontal="center" vertical="center"/>
    </xf>
    <xf numFmtId="0" fontId="3" fillId="3" borderId="0" xfId="0" applyFont="1" applyFill="1" applyAlignment="1">
      <alignment horizontal="left" vertical="center"/>
    </xf>
    <xf numFmtId="0" fontId="0" fillId="11" borderId="1" xfId="0" applyFill="1" applyBorder="1" applyAlignment="1">
      <alignment horizontal="center" vertical="center"/>
    </xf>
    <xf numFmtId="0" fontId="0" fillId="15" borderId="1" xfId="0" applyFill="1" applyBorder="1" applyAlignment="1">
      <alignment horizontal="center" vertical="center"/>
    </xf>
    <xf numFmtId="0" fontId="0" fillId="14" borderId="1" xfId="0" applyFill="1" applyBorder="1" applyAlignment="1">
      <alignment horizontal="center" vertical="center"/>
    </xf>
    <xf numFmtId="0" fontId="0" fillId="2" borderId="1" xfId="0"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0" borderId="0" xfId="0" applyFill="1" applyAlignment="1">
      <alignment vertical="center"/>
    </xf>
    <xf numFmtId="0" fontId="0" fillId="0" borderId="0" xfId="0" applyAlignment="1">
      <alignment horizontal="left" vertical="center"/>
    </xf>
    <xf numFmtId="0" fontId="1" fillId="3" borderId="0" xfId="0" applyFont="1" applyFill="1" applyBorder="1" applyAlignment="1">
      <alignment horizontal="right" vertical="center"/>
    </xf>
    <xf numFmtId="0" fontId="1" fillId="3" borderId="0" xfId="0" applyFont="1" applyFill="1" applyBorder="1" applyAlignment="1">
      <alignment horizontal="left" vertical="center"/>
    </xf>
    <xf numFmtId="0" fontId="0" fillId="0" borderId="0" xfId="0" applyAlignment="1">
      <alignment vertical="top"/>
    </xf>
    <xf numFmtId="0" fontId="1" fillId="0" borderId="0" xfId="0" applyFont="1" applyFill="1" applyAlignment="1">
      <alignment horizontal="center" vertical="center"/>
    </xf>
    <xf numFmtId="0" fontId="0" fillId="0" borderId="0" xfId="0" applyAlignment="1">
      <alignment horizontal="center"/>
    </xf>
    <xf numFmtId="0" fontId="0" fillId="0" borderId="1" xfId="0" applyFont="1" applyBorder="1" applyAlignment="1">
      <alignment horizontal="center" vertical="center" wrapText="1"/>
    </xf>
    <xf numFmtId="0" fontId="0" fillId="0" borderId="1" xfId="0" applyFont="1" applyBorder="1" applyAlignment="1">
      <alignment horizontal="left" vertical="center" wrapText="1"/>
    </xf>
    <xf numFmtId="0" fontId="0" fillId="0" borderId="1" xfId="0" applyFont="1" applyBorder="1" applyAlignment="1" applyProtection="1">
      <alignment horizontal="center" vertical="center" wrapText="1"/>
      <protection locked="0"/>
    </xf>
    <xf numFmtId="0" fontId="0" fillId="0" borderId="1" xfId="0" applyFont="1" applyFill="1" applyBorder="1" applyAlignment="1">
      <alignment horizontal="center" vertical="center" wrapText="1"/>
    </xf>
    <xf numFmtId="0" fontId="21" fillId="5" borderId="1" xfId="0" applyFont="1" applyFill="1" applyBorder="1" applyAlignment="1">
      <alignment horizontal="left" vertical="center" wrapText="1"/>
    </xf>
    <xf numFmtId="0" fontId="30" fillId="0" borderId="1" xfId="0" applyFont="1" applyBorder="1" applyAlignment="1">
      <alignment horizontal="center" vertical="center" wrapText="1"/>
    </xf>
    <xf numFmtId="0" fontId="0" fillId="5" borderId="1" xfId="0" applyFont="1" applyFill="1" applyBorder="1" applyAlignment="1">
      <alignment horizontal="center" vertical="center" wrapText="1"/>
    </xf>
    <xf numFmtId="0" fontId="0" fillId="16" borderId="0" xfId="0" applyFill="1" applyBorder="1"/>
    <xf numFmtId="0" fontId="1" fillId="16" borderId="0" xfId="0" applyFont="1" applyFill="1" applyBorder="1"/>
    <xf numFmtId="0" fontId="1" fillId="17" borderId="0" xfId="0" applyFont="1" applyFill="1" applyBorder="1"/>
    <xf numFmtId="0" fontId="0" fillId="17" borderId="0" xfId="0" applyFill="1" applyBorder="1"/>
    <xf numFmtId="0" fontId="1" fillId="18" borderId="0" xfId="0" applyFont="1" applyFill="1" applyBorder="1"/>
    <xf numFmtId="0" fontId="0" fillId="18" borderId="0" xfId="0" applyFill="1" applyBorder="1"/>
    <xf numFmtId="0" fontId="0" fillId="3" borderId="0" xfId="0" applyFill="1" applyBorder="1" applyAlignment="1">
      <alignment horizontal="right"/>
    </xf>
    <xf numFmtId="0" fontId="0" fillId="5" borderId="1" xfId="0" applyFill="1" applyBorder="1" applyAlignment="1" applyProtection="1">
      <alignment horizontal="center" vertical="center" wrapText="1"/>
      <protection locked="0"/>
    </xf>
    <xf numFmtId="0" fontId="0" fillId="5" borderId="1" xfId="0" applyFont="1" applyFill="1" applyBorder="1" applyAlignment="1" applyProtection="1">
      <alignment horizontal="center" vertical="center" wrapText="1"/>
      <protection locked="0"/>
    </xf>
    <xf numFmtId="0" fontId="13" fillId="0" borderId="1" xfId="0" applyFont="1" applyBorder="1" applyAlignment="1">
      <alignment horizontal="center" vertical="center" wrapText="1"/>
    </xf>
    <xf numFmtId="0" fontId="21" fillId="5" borderId="1" xfId="0" applyFont="1" applyFill="1" applyBorder="1" applyAlignment="1">
      <alignment horizontal="center" vertical="center" wrapText="1"/>
    </xf>
    <xf numFmtId="0" fontId="0" fillId="3" borderId="0" xfId="0" applyFont="1" applyFill="1" applyBorder="1" applyAlignment="1">
      <alignment horizontal="center" wrapText="1"/>
    </xf>
    <xf numFmtId="0" fontId="2" fillId="3" borderId="0" xfId="0" applyFont="1" applyFill="1"/>
    <xf numFmtId="0" fontId="0" fillId="3" borderId="0" xfId="0" applyFill="1" applyAlignment="1">
      <alignment vertical="center"/>
    </xf>
    <xf numFmtId="0" fontId="33" fillId="3" borderId="0" xfId="0" applyFont="1" applyFill="1"/>
    <xf numFmtId="0" fontId="29" fillId="3" borderId="0" xfId="0" applyFont="1" applyFill="1" applyBorder="1" applyAlignment="1">
      <alignment vertical="center"/>
    </xf>
    <xf numFmtId="0" fontId="16" fillId="3" borderId="0" xfId="0" applyFont="1" applyFill="1" applyBorder="1" applyAlignment="1">
      <alignment vertical="center"/>
    </xf>
    <xf numFmtId="0" fontId="0" fillId="3" borderId="0" xfId="0" applyFill="1" applyAlignment="1">
      <alignment vertical="top"/>
    </xf>
    <xf numFmtId="0" fontId="1" fillId="3" borderId="0" xfId="0" applyFont="1" applyFill="1" applyBorder="1" applyAlignment="1">
      <alignment vertical="center"/>
    </xf>
    <xf numFmtId="0" fontId="0" fillId="3" borderId="1" xfId="0" applyFill="1" applyBorder="1" applyAlignment="1">
      <alignment horizontal="center" vertical="center"/>
    </xf>
    <xf numFmtId="0" fontId="5" fillId="3" borderId="1" xfId="0" applyFont="1" applyFill="1" applyBorder="1" applyAlignment="1">
      <alignment horizontal="center" vertical="center"/>
    </xf>
    <xf numFmtId="0" fontId="0" fillId="3" borderId="0" xfId="0" applyFill="1" applyAlignment="1">
      <alignment horizontal="left" vertical="center"/>
    </xf>
    <xf numFmtId="0" fontId="29" fillId="3" borderId="0" xfId="0" applyFont="1" applyFill="1" applyAlignment="1">
      <alignment horizontal="left" vertical="center"/>
    </xf>
    <xf numFmtId="0" fontId="1" fillId="3" borderId="0" xfId="0" applyFont="1" applyFill="1" applyAlignment="1">
      <alignment horizontal="left" vertical="center"/>
    </xf>
    <xf numFmtId="0" fontId="0" fillId="3" borderId="0" xfId="0" applyFont="1" applyFill="1" applyBorder="1" applyAlignment="1">
      <alignment horizontal="center"/>
    </xf>
    <xf numFmtId="0" fontId="17" fillId="3" borderId="0" xfId="1" applyFill="1" applyAlignment="1">
      <alignment horizontal="left" vertical="center"/>
    </xf>
    <xf numFmtId="164" fontId="0" fillId="3" borderId="1" xfId="0" applyNumberFormat="1" applyFill="1" applyBorder="1" applyAlignment="1">
      <alignment horizontal="center" vertical="center"/>
    </xf>
    <xf numFmtId="0" fontId="1" fillId="18" borderId="1" xfId="0" applyFont="1" applyFill="1" applyBorder="1" applyAlignment="1">
      <alignment horizontal="center" vertical="center"/>
    </xf>
    <xf numFmtId="0" fontId="0" fillId="3" borderId="0" xfId="0" applyFill="1" applyAlignment="1">
      <alignment vertical="top" wrapText="1"/>
    </xf>
    <xf numFmtId="0" fontId="1" fillId="3" borderId="0" xfId="0" applyFont="1" applyFill="1" applyAlignment="1">
      <alignment vertical="top" wrapText="1"/>
    </xf>
    <xf numFmtId="0" fontId="0" fillId="3" borderId="1" xfId="0" applyFont="1" applyFill="1" applyBorder="1" applyAlignment="1" applyProtection="1">
      <alignment horizontal="center" vertical="center" wrapText="1"/>
      <protection locked="0"/>
    </xf>
    <xf numFmtId="0" fontId="2" fillId="3" borderId="1" xfId="0" applyFont="1" applyFill="1" applyBorder="1" applyAlignment="1">
      <alignment horizontal="center" vertical="center" wrapText="1"/>
    </xf>
    <xf numFmtId="0" fontId="30" fillId="3" borderId="1" xfId="0" applyFont="1" applyFill="1" applyBorder="1" applyAlignment="1">
      <alignment horizontal="center" vertical="center" wrapText="1"/>
    </xf>
    <xf numFmtId="0" fontId="13" fillId="3" borderId="1"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13" fillId="5"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13" fillId="3" borderId="1" xfId="0" applyFont="1" applyFill="1" applyBorder="1" applyAlignment="1" applyProtection="1">
      <alignment horizontal="center" vertical="center" wrapText="1"/>
    </xf>
    <xf numFmtId="0" fontId="13" fillId="0" borderId="1" xfId="0" applyFont="1" applyFill="1" applyBorder="1" applyAlignment="1" applyProtection="1">
      <alignment horizontal="center" vertical="center" wrapText="1"/>
    </xf>
    <xf numFmtId="0" fontId="18" fillId="0" borderId="0" xfId="0" applyFont="1" applyBorder="1" applyAlignment="1" applyProtection="1">
      <alignment wrapText="1"/>
    </xf>
    <xf numFmtId="0" fontId="0" fillId="5" borderId="1" xfId="0" applyFill="1" applyBorder="1" applyAlignment="1">
      <alignment horizontal="left" vertical="center" wrapText="1"/>
    </xf>
    <xf numFmtId="0" fontId="13" fillId="0" borderId="1" xfId="0" applyFont="1" applyBorder="1" applyAlignment="1">
      <alignment horizontal="left" vertical="center" wrapText="1"/>
    </xf>
    <xf numFmtId="0" fontId="11" fillId="0" borderId="1" xfId="0" applyFont="1" applyBorder="1" applyAlignment="1">
      <alignment horizontal="left" vertical="center" wrapText="1"/>
    </xf>
    <xf numFmtId="0" fontId="30" fillId="0" borderId="1" xfId="0" applyFont="1" applyFill="1" applyBorder="1" applyAlignment="1">
      <alignment horizontal="left" vertical="center" wrapText="1"/>
    </xf>
    <xf numFmtId="0" fontId="30" fillId="0" borderId="1" xfId="0" applyFont="1" applyBorder="1" applyAlignment="1">
      <alignment horizontal="left" vertical="center" wrapText="1"/>
    </xf>
    <xf numFmtId="0" fontId="0" fillId="0" borderId="1" xfId="0" applyFont="1" applyFill="1" applyBorder="1" applyAlignment="1">
      <alignment horizontal="left" vertical="center" wrapText="1"/>
    </xf>
    <xf numFmtId="0" fontId="0" fillId="5" borderId="1" xfId="0" applyFont="1" applyFill="1" applyBorder="1" applyAlignment="1">
      <alignment horizontal="left" vertical="center" wrapText="1"/>
    </xf>
    <xf numFmtId="0" fontId="1" fillId="3" borderId="15" xfId="0" applyFont="1" applyFill="1" applyBorder="1" applyAlignment="1">
      <alignment horizontal="center" vertical="center"/>
    </xf>
    <xf numFmtId="0" fontId="1" fillId="3" borderId="16" xfId="0" applyFont="1" applyFill="1" applyBorder="1" applyAlignment="1">
      <alignment horizontal="center" vertical="center"/>
    </xf>
    <xf numFmtId="0" fontId="0" fillId="3" borderId="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xf numFmtId="0" fontId="1" fillId="11" borderId="16" xfId="0" applyFont="1" applyFill="1" applyBorder="1" applyAlignment="1">
      <alignment horizontal="center" vertical="center"/>
    </xf>
    <xf numFmtId="0" fontId="1" fillId="15" borderId="16" xfId="0" applyFont="1" applyFill="1" applyBorder="1" applyAlignment="1">
      <alignment horizontal="center" vertical="center"/>
    </xf>
    <xf numFmtId="0" fontId="12" fillId="13" borderId="17" xfId="0" applyFont="1" applyFill="1" applyBorder="1" applyAlignment="1">
      <alignment horizontal="center" vertical="center"/>
    </xf>
    <xf numFmtId="0" fontId="12" fillId="13" borderId="7" xfId="0" applyFont="1" applyFill="1" applyBorder="1" applyAlignment="1">
      <alignment horizontal="center" vertical="center"/>
    </xf>
    <xf numFmtId="0" fontId="1" fillId="11" borderId="4" xfId="0" applyFont="1" applyFill="1" applyBorder="1" applyAlignment="1">
      <alignment horizontal="center" vertical="center"/>
    </xf>
    <xf numFmtId="0" fontId="1" fillId="15" borderId="4" xfId="0" applyFont="1" applyFill="1" applyBorder="1" applyAlignment="1">
      <alignment horizontal="center" vertical="center"/>
    </xf>
    <xf numFmtId="0" fontId="0" fillId="3" borderId="0" xfId="0" applyFill="1" applyAlignment="1">
      <alignment vertical="top" wrapText="1"/>
    </xf>
    <xf numFmtId="0" fontId="1" fillId="3" borderId="18" xfId="0" applyFont="1" applyFill="1" applyBorder="1" applyAlignment="1">
      <alignment horizontal="center" vertical="center"/>
    </xf>
    <xf numFmtId="0" fontId="0" fillId="3" borderId="8" xfId="0" applyFill="1" applyBorder="1" applyAlignment="1">
      <alignment horizontal="center" vertical="center"/>
    </xf>
    <xf numFmtId="0" fontId="0" fillId="3" borderId="15" xfId="0" applyFill="1" applyBorder="1" applyAlignment="1">
      <alignment horizontal="center"/>
    </xf>
    <xf numFmtId="0" fontId="0" fillId="3" borderId="16" xfId="0" applyFill="1" applyBorder="1" applyAlignment="1">
      <alignment horizontal="center"/>
    </xf>
    <xf numFmtId="0" fontId="0" fillId="3" borderId="17"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15" fillId="14" borderId="1" xfId="0" applyFont="1" applyFill="1" applyBorder="1" applyAlignment="1">
      <alignment horizontal="center" vertical="center"/>
    </xf>
    <xf numFmtId="0" fontId="15" fillId="14" borderId="4" xfId="0" applyFont="1" applyFill="1" applyBorder="1" applyAlignment="1">
      <alignment horizontal="center" vertical="center"/>
    </xf>
    <xf numFmtId="0" fontId="1" fillId="14" borderId="16" xfId="0" applyFont="1" applyFill="1" applyBorder="1" applyAlignment="1">
      <alignment horizontal="center" vertical="center"/>
    </xf>
    <xf numFmtId="0" fontId="1" fillId="14" borderId="1" xfId="0" applyFont="1" applyFill="1" applyBorder="1" applyAlignment="1">
      <alignment horizontal="center" vertical="center"/>
    </xf>
    <xf numFmtId="0" fontId="1" fillId="14" borderId="4" xfId="0" applyFont="1" applyFill="1" applyBorder="1" applyAlignment="1">
      <alignment horizontal="center" vertical="center"/>
    </xf>
    <xf numFmtId="0" fontId="15" fillId="9" borderId="17" xfId="0" applyFont="1" applyFill="1" applyBorder="1" applyAlignment="1">
      <alignment horizontal="center" vertical="center"/>
    </xf>
    <xf numFmtId="0" fontId="0" fillId="20" borderId="1" xfId="0" applyFill="1" applyBorder="1" applyAlignment="1">
      <alignment horizontal="center" vertical="center"/>
    </xf>
    <xf numFmtId="0" fontId="1" fillId="11" borderId="2" xfId="0" applyFont="1" applyFill="1" applyBorder="1" applyAlignment="1">
      <alignment horizontal="center" vertical="center"/>
    </xf>
    <xf numFmtId="0" fontId="1" fillId="15" borderId="2" xfId="0" applyFont="1" applyFill="1" applyBorder="1" applyAlignment="1">
      <alignment horizontal="center" vertical="center"/>
    </xf>
    <xf numFmtId="0" fontId="15" fillId="14" borderId="2" xfId="0" applyFont="1" applyFill="1" applyBorder="1" applyAlignment="1">
      <alignment horizontal="center" vertical="center"/>
    </xf>
    <xf numFmtId="0" fontId="12" fillId="13" borderId="13" xfId="0" applyFont="1" applyFill="1" applyBorder="1" applyAlignment="1">
      <alignment horizontal="center" vertical="center"/>
    </xf>
    <xf numFmtId="0" fontId="15" fillId="9" borderId="26"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14" xfId="0" applyFont="1" applyFill="1" applyBorder="1" applyAlignment="1">
      <alignment horizontal="center" vertical="center"/>
    </xf>
    <xf numFmtId="0" fontId="1" fillId="9" borderId="15" xfId="0" applyFont="1" applyFill="1" applyBorder="1" applyAlignment="1">
      <alignment horizontal="center" vertical="center"/>
    </xf>
    <xf numFmtId="0" fontId="1" fillId="9" borderId="6" xfId="0" applyFont="1" applyFill="1" applyBorder="1" applyAlignment="1">
      <alignment horizontal="center" vertical="center"/>
    </xf>
    <xf numFmtId="0" fontId="1" fillId="9" borderId="3" xfId="0" applyFont="1" applyFill="1" applyBorder="1" applyAlignment="1">
      <alignment horizontal="center" vertical="center"/>
    </xf>
    <xf numFmtId="0" fontId="1" fillId="3" borderId="34" xfId="0" applyFont="1" applyFill="1" applyBorder="1" applyAlignment="1">
      <alignment vertical="top" wrapText="1"/>
    </xf>
    <xf numFmtId="0" fontId="0" fillId="18" borderId="24" xfId="0" applyFill="1" applyBorder="1"/>
    <xf numFmtId="0" fontId="0" fillId="18" borderId="32" xfId="0" applyFill="1" applyBorder="1"/>
    <xf numFmtId="0" fontId="0" fillId="18" borderId="25" xfId="0" applyFill="1" applyBorder="1"/>
    <xf numFmtId="0" fontId="0" fillId="18" borderId="30" xfId="0" applyFill="1" applyBorder="1"/>
    <xf numFmtId="0" fontId="0" fillId="18" borderId="29" xfId="0" applyFill="1" applyBorder="1"/>
    <xf numFmtId="0" fontId="0" fillId="18" borderId="12" xfId="0" applyFill="1" applyBorder="1"/>
    <xf numFmtId="0" fontId="0" fillId="18" borderId="33" xfId="0" applyFill="1" applyBorder="1"/>
    <xf numFmtId="0" fontId="0" fillId="18" borderId="26" xfId="0" applyFill="1" applyBorder="1"/>
    <xf numFmtId="0" fontId="0" fillId="17" borderId="24" xfId="0" applyFill="1" applyBorder="1"/>
    <xf numFmtId="0" fontId="0" fillId="17" borderId="32" xfId="0" applyFill="1" applyBorder="1"/>
    <xf numFmtId="0" fontId="0" fillId="17" borderId="25" xfId="0" applyFill="1" applyBorder="1" applyAlignment="1">
      <alignment horizontal="left" vertical="center" wrapText="1"/>
    </xf>
    <xf numFmtId="0" fontId="0" fillId="17" borderId="30" xfId="0" applyFill="1" applyBorder="1"/>
    <xf numFmtId="0" fontId="0" fillId="17" borderId="29" xfId="0" applyFill="1" applyBorder="1" applyAlignment="1">
      <alignment horizontal="left" vertical="center" wrapText="1"/>
    </xf>
    <xf numFmtId="0" fontId="0" fillId="17" borderId="0" xfId="0" applyFill="1" applyBorder="1" applyAlignment="1">
      <alignment vertical="center" wrapText="1"/>
    </xf>
    <xf numFmtId="0" fontId="0" fillId="17" borderId="12" xfId="0" applyFill="1" applyBorder="1"/>
    <xf numFmtId="0" fontId="0" fillId="17" borderId="33" xfId="0" applyFill="1" applyBorder="1"/>
    <xf numFmtId="0" fontId="0" fillId="17" borderId="33" xfId="0" applyFill="1" applyBorder="1" applyAlignment="1">
      <alignment horizontal="center"/>
    </xf>
    <xf numFmtId="0" fontId="0" fillId="17" borderId="33" xfId="0" applyFill="1" applyBorder="1" applyAlignment="1" applyProtection="1">
      <alignment horizontal="center"/>
      <protection locked="0"/>
    </xf>
    <xf numFmtId="0" fontId="14" fillId="17" borderId="33" xfId="0" applyFont="1" applyFill="1" applyBorder="1" applyAlignment="1">
      <alignment vertical="center"/>
    </xf>
    <xf numFmtId="0" fontId="0" fillId="17" borderId="33" xfId="0" applyFill="1" applyBorder="1" applyAlignment="1">
      <alignment vertical="center" wrapText="1"/>
    </xf>
    <xf numFmtId="0" fontId="0" fillId="17" borderId="33" xfId="0" applyFill="1" applyBorder="1" applyAlignment="1">
      <alignment horizontal="left" vertical="center" wrapText="1"/>
    </xf>
    <xf numFmtId="0" fontId="0" fillId="17" borderId="26" xfId="0" applyFill="1" applyBorder="1" applyAlignment="1">
      <alignment horizontal="left" vertical="center" wrapText="1"/>
    </xf>
    <xf numFmtId="0" fontId="0" fillId="16" borderId="24" xfId="0" applyFill="1" applyBorder="1"/>
    <xf numFmtId="0" fontId="0" fillId="16" borderId="32" xfId="0" applyFill="1" applyBorder="1"/>
    <xf numFmtId="0" fontId="0" fillId="16" borderId="32" xfId="0" applyFill="1" applyBorder="1" applyAlignment="1">
      <alignment vertical="center" wrapText="1"/>
    </xf>
    <xf numFmtId="0" fontId="0" fillId="16" borderId="25" xfId="0" applyFill="1" applyBorder="1"/>
    <xf numFmtId="0" fontId="0" fillId="16" borderId="30" xfId="0" applyFill="1" applyBorder="1"/>
    <xf numFmtId="0" fontId="0" fillId="16" borderId="29" xfId="0" applyFill="1" applyBorder="1"/>
    <xf numFmtId="0" fontId="0" fillId="16" borderId="12" xfId="0" applyFill="1" applyBorder="1"/>
    <xf numFmtId="0" fontId="0" fillId="16" borderId="33" xfId="0" applyFill="1" applyBorder="1"/>
    <xf numFmtId="0" fontId="0" fillId="16" borderId="26" xfId="0" applyFill="1" applyBorder="1"/>
    <xf numFmtId="0" fontId="37" fillId="3" borderId="0" xfId="0" applyFont="1" applyFill="1"/>
    <xf numFmtId="0" fontId="1" fillId="0" borderId="1" xfId="0" applyFont="1" applyBorder="1" applyAlignment="1">
      <alignment horizontal="right"/>
    </xf>
    <xf numFmtId="0" fontId="1" fillId="0" borderId="1" xfId="0" applyFont="1" applyBorder="1" applyAlignment="1">
      <alignment horizontal="center"/>
    </xf>
    <xf numFmtId="0" fontId="0" fillId="0" borderId="1" xfId="0" applyFont="1" applyBorder="1" applyAlignment="1">
      <alignment horizontal="center"/>
    </xf>
    <xf numFmtId="0" fontId="0" fillId="0" borderId="1" xfId="0" applyBorder="1" applyAlignment="1">
      <alignment horizontal="center"/>
    </xf>
    <xf numFmtId="0" fontId="0" fillId="3" borderId="1" xfId="0" applyFill="1" applyBorder="1" applyAlignment="1">
      <alignment horizontal="center" vertical="center"/>
    </xf>
    <xf numFmtId="0" fontId="0" fillId="3" borderId="1" xfId="0" applyFont="1" applyFill="1" applyBorder="1" applyAlignment="1">
      <alignment horizontal="center" vertical="center" wrapText="1"/>
    </xf>
    <xf numFmtId="0" fontId="0" fillId="3" borderId="1" xfId="0" applyFont="1" applyFill="1" applyBorder="1" applyAlignment="1">
      <alignment horizontal="left" vertical="center" wrapText="1"/>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8" xfId="0" applyFill="1" applyBorder="1" applyAlignment="1">
      <alignment horizontal="center" vertical="center"/>
    </xf>
    <xf numFmtId="0" fontId="1" fillId="8" borderId="1" xfId="0" applyFont="1" applyFill="1" applyBorder="1" applyAlignment="1">
      <alignment horizontal="center" vertical="top" wrapText="1"/>
    </xf>
    <xf numFmtId="0" fontId="1" fillId="7" borderId="1" xfId="0" applyFont="1" applyFill="1" applyBorder="1" applyAlignment="1">
      <alignment horizontal="center" vertical="top" wrapText="1"/>
    </xf>
    <xf numFmtId="0" fontId="1" fillId="7" borderId="1" xfId="0" applyFont="1" applyFill="1" applyBorder="1" applyAlignment="1">
      <alignment horizontal="left" vertical="top" wrapText="1"/>
    </xf>
    <xf numFmtId="0" fontId="1" fillId="6" borderId="1" xfId="0" applyFont="1" applyFill="1" applyBorder="1" applyAlignment="1">
      <alignment horizontal="center" vertical="top" wrapText="1"/>
    </xf>
    <xf numFmtId="0" fontId="1" fillId="10" borderId="1" xfId="0" applyFont="1" applyFill="1" applyBorder="1" applyAlignment="1">
      <alignment horizontal="center" vertical="top" wrapText="1"/>
    </xf>
    <xf numFmtId="0" fontId="1" fillId="9" borderId="1" xfId="0" applyFont="1" applyFill="1" applyBorder="1" applyAlignment="1">
      <alignment horizontal="center" vertical="top" wrapText="1"/>
    </xf>
    <xf numFmtId="0" fontId="10" fillId="2" borderId="1" xfId="0" applyFont="1" applyFill="1" applyBorder="1" applyAlignment="1">
      <alignment horizontal="center" vertical="top" wrapText="1"/>
    </xf>
    <xf numFmtId="0" fontId="22" fillId="2" borderId="1" xfId="0" applyFont="1" applyFill="1" applyBorder="1" applyAlignment="1">
      <alignment horizontal="center" vertical="top" textRotation="90" wrapText="1"/>
    </xf>
    <xf numFmtId="0" fontId="32" fillId="4" borderId="1" xfId="0" applyFont="1" applyFill="1" applyBorder="1" applyAlignment="1">
      <alignment horizontal="center" vertical="center" wrapText="1"/>
    </xf>
    <xf numFmtId="0" fontId="32" fillId="4" borderId="1" xfId="0" applyFont="1" applyFill="1" applyBorder="1" applyAlignment="1">
      <alignment horizontal="left" vertical="center" wrapText="1"/>
    </xf>
    <xf numFmtId="0" fontId="0" fillId="4" borderId="1" xfId="0" applyFill="1" applyBorder="1" applyAlignment="1">
      <alignment horizontal="left" vertical="center" wrapText="1"/>
    </xf>
    <xf numFmtId="0" fontId="0" fillId="4" borderId="1" xfId="0" applyFill="1" applyBorder="1" applyAlignment="1">
      <alignment horizontal="center" vertical="center" wrapText="1"/>
    </xf>
    <xf numFmtId="0" fontId="0" fillId="4" borderId="1" xfId="0" applyFill="1" applyBorder="1" applyAlignment="1" applyProtection="1">
      <alignment horizontal="center" vertical="center" wrapText="1"/>
      <protection locked="0"/>
    </xf>
    <xf numFmtId="0" fontId="0" fillId="4" borderId="1" xfId="0" applyFill="1" applyBorder="1" applyAlignment="1" applyProtection="1">
      <alignment horizontal="left" vertical="center" wrapText="1"/>
      <protection locked="0"/>
    </xf>
    <xf numFmtId="0" fontId="2" fillId="4" borderId="1" xfId="0" applyFont="1" applyFill="1" applyBorder="1" applyAlignment="1">
      <alignment horizontal="center" vertical="center" wrapText="1"/>
    </xf>
    <xf numFmtId="0" fontId="0" fillId="5" borderId="1" xfId="0" applyFill="1" applyBorder="1" applyAlignment="1" applyProtection="1">
      <alignment horizontal="left" vertical="center" wrapText="1"/>
      <protection locked="0"/>
    </xf>
    <xf numFmtId="0" fontId="17" fillId="3" borderId="1" xfId="1" applyFill="1" applyBorder="1" applyAlignment="1">
      <alignment horizontal="center" vertical="center" wrapText="1"/>
    </xf>
    <xf numFmtId="0" fontId="17" fillId="3" borderId="1" xfId="1" applyFill="1" applyBorder="1" applyAlignment="1">
      <alignment horizontal="left" vertical="center" wrapText="1"/>
    </xf>
    <xf numFmtId="0" fontId="0" fillId="3" borderId="1" xfId="0" applyFont="1" applyFill="1" applyBorder="1" applyAlignment="1" applyProtection="1">
      <alignment horizontal="left" vertical="center" wrapText="1"/>
      <protection locked="0"/>
    </xf>
    <xf numFmtId="0" fontId="17" fillId="0" borderId="1" xfId="1" applyBorder="1" applyAlignment="1">
      <alignment horizontal="center" vertical="center" wrapText="1"/>
    </xf>
    <xf numFmtId="0" fontId="17" fillId="0" borderId="1" xfId="1" applyBorder="1" applyAlignment="1">
      <alignment horizontal="left" vertical="center" wrapText="1"/>
    </xf>
    <xf numFmtId="0" fontId="0" fillId="0" borderId="1" xfId="0" applyFont="1" applyBorder="1" applyAlignment="1" applyProtection="1">
      <alignment horizontal="left" vertical="center" wrapText="1"/>
      <protection locked="0"/>
    </xf>
    <xf numFmtId="0" fontId="17" fillId="0" borderId="1" xfId="1" applyFill="1" applyBorder="1" applyAlignment="1" applyProtection="1">
      <alignment vertical="center" wrapText="1"/>
    </xf>
    <xf numFmtId="0" fontId="13" fillId="4"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30" fillId="0" borderId="1" xfId="0" applyFont="1" applyBorder="1" applyAlignment="1" applyProtection="1">
      <alignment horizontal="left" vertical="center" wrapText="1"/>
      <protection locked="0"/>
    </xf>
    <xf numFmtId="0" fontId="30" fillId="3" borderId="1" xfId="0" applyFont="1" applyFill="1" applyBorder="1" applyAlignment="1" applyProtection="1">
      <alignment horizontal="left" vertical="center" wrapText="1"/>
      <protection locked="0"/>
    </xf>
    <xf numFmtId="0" fontId="0" fillId="0" borderId="1" xfId="0" applyFont="1" applyFill="1" applyBorder="1" applyAlignment="1" applyProtection="1">
      <alignment horizontal="left" vertical="center" wrapText="1"/>
      <protection locked="0"/>
    </xf>
    <xf numFmtId="0" fontId="13" fillId="0" borderId="1" xfId="0" applyFont="1" applyFill="1" applyBorder="1" applyAlignment="1">
      <alignment horizontal="left" vertical="center" wrapText="1"/>
    </xf>
    <xf numFmtId="0" fontId="13" fillId="3" borderId="1" xfId="0" applyFont="1" applyFill="1" applyBorder="1" applyAlignment="1">
      <alignment horizontal="left" vertical="center" wrapText="1"/>
    </xf>
    <xf numFmtId="0" fontId="17" fillId="0" borderId="1" xfId="1" applyFill="1" applyBorder="1" applyAlignment="1">
      <alignment horizontal="left" vertical="center" wrapText="1"/>
    </xf>
    <xf numFmtId="0" fontId="0" fillId="5" borderId="1" xfId="0" applyFont="1" applyFill="1" applyBorder="1" applyAlignment="1" applyProtection="1">
      <alignment horizontal="left" vertical="center" wrapText="1"/>
      <protection locked="0"/>
    </xf>
    <xf numFmtId="0" fontId="0" fillId="4" borderId="1" xfId="0" applyFont="1" applyFill="1" applyBorder="1" applyAlignment="1">
      <alignment horizontal="left" vertical="center" wrapText="1"/>
    </xf>
    <xf numFmtId="0" fontId="0" fillId="4" borderId="1" xfId="0" applyFont="1" applyFill="1" applyBorder="1" applyAlignment="1">
      <alignment horizontal="center" vertical="center" wrapText="1"/>
    </xf>
    <xf numFmtId="0" fontId="0" fillId="4" borderId="1" xfId="0" applyFont="1" applyFill="1" applyBorder="1" applyAlignment="1" applyProtection="1">
      <alignment horizontal="center" vertical="center" wrapText="1"/>
      <protection locked="0"/>
    </xf>
    <xf numFmtId="0" fontId="0" fillId="4" borderId="1" xfId="0" applyFont="1" applyFill="1" applyBorder="1" applyAlignment="1" applyProtection="1">
      <alignment horizontal="left" vertical="center" wrapText="1"/>
      <protection locked="0"/>
    </xf>
    <xf numFmtId="0" fontId="17" fillId="0" borderId="1" xfId="1" applyFill="1" applyBorder="1" applyAlignment="1">
      <alignment horizontal="center" vertical="center" wrapText="1"/>
    </xf>
    <xf numFmtId="0" fontId="0" fillId="3" borderId="1" xfId="0" applyFill="1" applyBorder="1" applyAlignment="1">
      <alignment horizontal="center" vertical="center"/>
    </xf>
    <xf numFmtId="14" fontId="0" fillId="4" borderId="1" xfId="0" applyNumberFormat="1" applyFill="1" applyBorder="1" applyAlignment="1" applyProtection="1">
      <alignment horizontal="center" vertical="center" wrapText="1"/>
      <protection locked="0"/>
    </xf>
    <xf numFmtId="14" fontId="0" fillId="5" borderId="1" xfId="0" applyNumberFormat="1" applyFill="1" applyBorder="1" applyAlignment="1" applyProtection="1">
      <alignment horizontal="center" vertical="center" wrapText="1"/>
      <protection locked="0"/>
    </xf>
    <xf numFmtId="14" fontId="0" fillId="3" borderId="1" xfId="0" applyNumberFormat="1" applyFont="1" applyFill="1" applyBorder="1" applyAlignment="1" applyProtection="1">
      <alignment horizontal="center" vertical="center" wrapText="1"/>
      <protection locked="0"/>
    </xf>
    <xf numFmtId="14" fontId="0" fillId="0" borderId="1" xfId="0" applyNumberFormat="1" applyFont="1" applyBorder="1" applyAlignment="1" applyProtection="1">
      <alignment horizontal="center" vertical="center" wrapText="1"/>
      <protection locked="0"/>
    </xf>
    <xf numFmtId="14" fontId="30" fillId="0" borderId="1" xfId="0" applyNumberFormat="1" applyFont="1" applyBorder="1" applyAlignment="1" applyProtection="1">
      <alignment horizontal="center" vertical="center" wrapText="1"/>
      <protection locked="0"/>
    </xf>
    <xf numFmtId="14" fontId="30" fillId="3" borderId="1" xfId="0" applyNumberFormat="1" applyFont="1" applyFill="1" applyBorder="1" applyAlignment="1" applyProtection="1">
      <alignment horizontal="center" vertical="center" wrapText="1"/>
      <protection locked="0"/>
    </xf>
    <xf numFmtId="14" fontId="0" fillId="5" borderId="1" xfId="0" applyNumberFormat="1" applyFont="1" applyFill="1" applyBorder="1" applyAlignment="1" applyProtection="1">
      <alignment horizontal="center" vertical="center" wrapText="1"/>
      <protection locked="0"/>
    </xf>
    <xf numFmtId="14" fontId="0" fillId="4" borderId="1" xfId="0" applyNumberFormat="1" applyFont="1" applyFill="1" applyBorder="1" applyAlignment="1" applyProtection="1">
      <alignment horizontal="center" vertical="center" wrapText="1"/>
      <protection locked="0"/>
    </xf>
    <xf numFmtId="0" fontId="9" fillId="0" borderId="1" xfId="0" applyFont="1" applyFill="1" applyBorder="1" applyAlignment="1">
      <alignment horizontal="center" vertical="center" wrapText="1"/>
    </xf>
    <xf numFmtId="0" fontId="0" fillId="3" borderId="1" xfId="0" applyFont="1" applyFill="1" applyBorder="1" applyAlignment="1">
      <alignment horizontal="center" vertical="center" wrapText="1"/>
    </xf>
    <xf numFmtId="0" fontId="0" fillId="3" borderId="1" xfId="0" applyFont="1" applyFill="1" applyBorder="1" applyAlignment="1">
      <alignment horizontal="left" vertical="center" wrapText="1"/>
    </xf>
    <xf numFmtId="0" fontId="0" fillId="3" borderId="1" xfId="0" applyFill="1" applyBorder="1" applyAlignment="1">
      <alignment horizontal="center" vertical="center"/>
    </xf>
    <xf numFmtId="0" fontId="0" fillId="3" borderId="1" xfId="0" applyFill="1" applyBorder="1" applyAlignment="1">
      <alignment horizontal="center" vertical="center"/>
    </xf>
    <xf numFmtId="0" fontId="0" fillId="3" borderId="1" xfId="0" applyFill="1" applyBorder="1" applyAlignment="1">
      <alignment horizontal="center" vertical="center"/>
    </xf>
    <xf numFmtId="0" fontId="11" fillId="0" borderId="1" xfId="0" applyFont="1" applyFill="1" applyBorder="1" applyAlignment="1">
      <alignment horizontal="left" vertical="center" wrapText="1"/>
    </xf>
    <xf numFmtId="0" fontId="0" fillId="0" borderId="1" xfId="0" applyFont="1" applyFill="1" applyBorder="1" applyAlignment="1" applyProtection="1">
      <alignment horizontal="center" vertical="center" wrapText="1"/>
      <protection locked="0"/>
    </xf>
    <xf numFmtId="14" fontId="0" fillId="0" borderId="1" xfId="0" applyNumberFormat="1" applyFont="1" applyFill="1" applyBorder="1" applyAlignment="1" applyProtection="1">
      <alignment horizontal="center" vertical="center" wrapText="1"/>
      <protection locked="0"/>
    </xf>
    <xf numFmtId="0" fontId="0" fillId="3" borderId="1" xfId="0" applyFont="1" applyFill="1" applyBorder="1" applyAlignment="1">
      <alignment horizontal="left" vertical="center" wrapText="1"/>
    </xf>
    <xf numFmtId="0" fontId="0" fillId="3" borderId="1" xfId="0" applyFill="1" applyBorder="1" applyAlignment="1">
      <alignment horizontal="center" vertical="center"/>
    </xf>
    <xf numFmtId="0" fontId="0" fillId="3" borderId="1" xfId="0" applyFill="1" applyBorder="1" applyAlignment="1">
      <alignment horizontal="center" vertical="center"/>
    </xf>
    <xf numFmtId="0" fontId="0" fillId="3" borderId="0" xfId="0" applyFill="1" applyAlignment="1">
      <alignment vertical="top" wrapText="1"/>
    </xf>
    <xf numFmtId="0" fontId="0" fillId="3" borderId="9" xfId="0" applyFill="1" applyBorder="1" applyAlignment="1">
      <alignment horizontal="center" vertical="center"/>
    </xf>
    <xf numFmtId="0" fontId="1" fillId="11" borderId="1" xfId="0" applyFont="1" applyFill="1" applyBorder="1" applyAlignment="1">
      <alignment horizontal="center" vertical="center"/>
    </xf>
    <xf numFmtId="0" fontId="1" fillId="15" borderId="1" xfId="0" applyFont="1" applyFill="1" applyBorder="1" applyAlignment="1">
      <alignment horizontal="center" vertical="center"/>
    </xf>
    <xf numFmtId="0" fontId="0" fillId="3" borderId="20" xfId="0" applyFill="1" applyBorder="1" applyAlignment="1"/>
    <xf numFmtId="0" fontId="0" fillId="3" borderId="40" xfId="0" applyFill="1" applyBorder="1" applyAlignment="1"/>
    <xf numFmtId="0" fontId="0" fillId="3" borderId="41" xfId="0" applyFill="1" applyBorder="1" applyAlignment="1"/>
    <xf numFmtId="0" fontId="0" fillId="0" borderId="42" xfId="0" applyBorder="1" applyAlignment="1">
      <alignment horizontal="center" textRotation="90"/>
    </xf>
    <xf numFmtId="0" fontId="0" fillId="0" borderId="43" xfId="0" applyBorder="1" applyAlignment="1">
      <alignment horizontal="center" textRotation="90"/>
    </xf>
    <xf numFmtId="0" fontId="0" fillId="0" borderId="43" xfId="0" applyFill="1" applyBorder="1" applyAlignment="1">
      <alignment horizontal="center" textRotation="90"/>
    </xf>
    <xf numFmtId="0" fontId="0" fillId="0" borderId="44" xfId="0" applyFill="1" applyBorder="1" applyAlignment="1">
      <alignment horizontal="center" textRotation="90"/>
    </xf>
    <xf numFmtId="0" fontId="0" fillId="0" borderId="45" xfId="0" applyBorder="1" applyAlignment="1">
      <alignment horizontal="center" textRotation="90"/>
    </xf>
    <xf numFmtId="0" fontId="0" fillId="3" borderId="19" xfId="0" applyFill="1" applyBorder="1" applyAlignment="1">
      <alignment horizontal="center"/>
    </xf>
    <xf numFmtId="0" fontId="0" fillId="3" borderId="10" xfId="0" applyFill="1" applyBorder="1" applyAlignment="1">
      <alignment horizontal="center"/>
    </xf>
    <xf numFmtId="0" fontId="0" fillId="3" borderId="14" xfId="0" applyFill="1" applyBorder="1" applyAlignment="1">
      <alignment horizontal="center"/>
    </xf>
    <xf numFmtId="0" fontId="0" fillId="0" borderId="44" xfId="0" applyBorder="1" applyAlignment="1">
      <alignment horizontal="center" textRotation="90"/>
    </xf>
    <xf numFmtId="0" fontId="0" fillId="3" borderId="11" xfId="0" applyFill="1" applyBorder="1" applyAlignment="1">
      <alignment horizontal="center" vertical="center"/>
    </xf>
    <xf numFmtId="0" fontId="0" fillId="3" borderId="2" xfId="0" applyFill="1" applyBorder="1" applyAlignment="1">
      <alignment horizontal="center" vertical="center"/>
    </xf>
    <xf numFmtId="0" fontId="0" fillId="3" borderId="13" xfId="0" applyFill="1" applyBorder="1" applyAlignment="1">
      <alignment horizontal="center" vertical="center"/>
    </xf>
    <xf numFmtId="0" fontId="17" fillId="3" borderId="0" xfId="1" applyFill="1" applyAlignment="1">
      <alignment horizontal="left" vertical="center"/>
    </xf>
    <xf numFmtId="0" fontId="0" fillId="3" borderId="1" xfId="0" applyFill="1" applyBorder="1" applyAlignment="1">
      <alignment horizontal="center" vertical="center"/>
    </xf>
    <xf numFmtId="0" fontId="0" fillId="3" borderId="9" xfId="0" applyFill="1" applyBorder="1" applyAlignment="1">
      <alignment horizontal="center" vertical="center"/>
    </xf>
    <xf numFmtId="0" fontId="0" fillId="3" borderId="1" xfId="0" applyFill="1" applyBorder="1" applyAlignment="1">
      <alignment horizontal="center" vertical="center"/>
    </xf>
    <xf numFmtId="0" fontId="0" fillId="3" borderId="1" xfId="0" applyFill="1" applyBorder="1" applyAlignment="1">
      <alignment horizontal="left" vertical="center" wrapText="1"/>
    </xf>
    <xf numFmtId="0" fontId="0" fillId="3" borderId="1" xfId="0" applyFill="1" applyBorder="1" applyAlignment="1">
      <alignment horizontal="left" vertical="center"/>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9" xfId="0" applyFill="1" applyBorder="1" applyAlignment="1">
      <alignment horizontal="left" vertical="center"/>
    </xf>
    <xf numFmtId="0" fontId="0" fillId="3" borderId="27" xfId="0" applyFill="1" applyBorder="1" applyAlignment="1">
      <alignment horizontal="left" vertical="center"/>
    </xf>
    <xf numFmtId="0" fontId="0" fillId="3" borderId="10" xfId="0" applyFill="1" applyBorder="1" applyAlignment="1">
      <alignment horizontal="left" vertical="center"/>
    </xf>
    <xf numFmtId="0" fontId="0" fillId="3" borderId="0" xfId="0" applyFill="1" applyAlignment="1">
      <alignment vertical="top" wrapText="1"/>
    </xf>
    <xf numFmtId="0" fontId="17" fillId="3" borderId="1" xfId="1" applyFill="1" applyBorder="1" applyAlignment="1">
      <alignment horizontal="center"/>
    </xf>
    <xf numFmtId="0" fontId="29" fillId="3" borderId="0" xfId="0" applyFont="1" applyFill="1" applyBorder="1" applyAlignment="1">
      <alignment horizontal="left" vertical="center"/>
    </xf>
    <xf numFmtId="0" fontId="0" fillId="3" borderId="1" xfId="0" applyFont="1" applyFill="1" applyBorder="1" applyAlignment="1">
      <alignment horizontal="center"/>
    </xf>
    <xf numFmtId="0" fontId="1" fillId="18" borderId="1" xfId="0" applyFont="1" applyFill="1" applyBorder="1" applyAlignment="1">
      <alignment horizontal="center"/>
    </xf>
    <xf numFmtId="0" fontId="23" fillId="18" borderId="1" xfId="0" applyFont="1" applyFill="1" applyBorder="1" applyAlignment="1">
      <alignment horizontal="left" vertical="center" wrapText="1"/>
    </xf>
    <xf numFmtId="0" fontId="20" fillId="3" borderId="1" xfId="0" applyFont="1" applyFill="1" applyBorder="1" applyAlignment="1">
      <alignment horizontal="left" vertical="center" wrapText="1"/>
    </xf>
    <xf numFmtId="0" fontId="1" fillId="18" borderId="1" xfId="0" applyFont="1" applyFill="1" applyBorder="1" applyAlignment="1">
      <alignment horizontal="left" vertical="center"/>
    </xf>
    <xf numFmtId="0" fontId="1" fillId="7" borderId="1" xfId="0" applyFont="1" applyFill="1" applyBorder="1" applyAlignment="1">
      <alignment horizontal="center" vertical="center"/>
    </xf>
    <xf numFmtId="0" fontId="1" fillId="18" borderId="1" xfId="0" applyFont="1" applyFill="1" applyBorder="1" applyAlignment="1">
      <alignment horizontal="center" vertical="center"/>
    </xf>
    <xf numFmtId="0" fontId="1" fillId="10" borderId="1" xfId="0" applyFont="1" applyFill="1" applyBorder="1" applyAlignment="1">
      <alignment horizontal="center" vertical="center"/>
    </xf>
    <xf numFmtId="0" fontId="1" fillId="9" borderId="1" xfId="0" applyFont="1" applyFill="1" applyBorder="1" applyAlignment="1">
      <alignment horizontal="center" vertical="center"/>
    </xf>
    <xf numFmtId="0" fontId="36" fillId="3" borderId="0" xfId="0" applyFont="1" applyFill="1" applyAlignment="1">
      <alignment horizontal="left" vertical="center"/>
    </xf>
    <xf numFmtId="0" fontId="17" fillId="3" borderId="0" xfId="1" applyFill="1" applyAlignment="1">
      <alignment horizontal="left" vertical="center"/>
    </xf>
    <xf numFmtId="0" fontId="1" fillId="8" borderId="1" xfId="0" applyFont="1" applyFill="1" applyBorder="1" applyAlignment="1">
      <alignment horizontal="center" vertical="center"/>
    </xf>
    <xf numFmtId="0" fontId="1" fillId="6" borderId="1" xfId="0" applyFont="1" applyFill="1" applyBorder="1" applyAlignment="1">
      <alignment horizontal="center" vertical="center"/>
    </xf>
    <xf numFmtId="0" fontId="1" fillId="2" borderId="1" xfId="0" applyFont="1" applyFill="1" applyBorder="1" applyAlignment="1">
      <alignment horizontal="center" vertical="center"/>
    </xf>
    <xf numFmtId="0" fontId="15" fillId="3" borderId="4" xfId="0" applyFont="1" applyFill="1" applyBorder="1" applyAlignment="1" applyProtection="1">
      <alignment horizontal="center"/>
      <protection locked="0"/>
    </xf>
    <xf numFmtId="0" fontId="15" fillId="3" borderId="5" xfId="0" applyFont="1" applyFill="1" applyBorder="1" applyAlignment="1" applyProtection="1">
      <alignment horizontal="center"/>
      <protection locked="0"/>
    </xf>
    <xf numFmtId="0" fontId="38" fillId="19" borderId="3" xfId="1" applyFont="1" applyFill="1" applyBorder="1" applyAlignment="1">
      <alignment horizontal="center"/>
    </xf>
    <xf numFmtId="0" fontId="38" fillId="19" borderId="4" xfId="1" applyFont="1" applyFill="1" applyBorder="1" applyAlignment="1">
      <alignment horizontal="center"/>
    </xf>
    <xf numFmtId="0" fontId="0" fillId="17" borderId="0" xfId="0" applyFill="1" applyBorder="1" applyAlignment="1">
      <alignment horizontal="left" vertical="center" wrapText="1"/>
    </xf>
    <xf numFmtId="0" fontId="0" fillId="16" borderId="0" xfId="0" applyFill="1" applyBorder="1" applyAlignment="1">
      <alignment horizontal="left" vertical="center"/>
    </xf>
    <xf numFmtId="0" fontId="0" fillId="16" borderId="0" xfId="0" applyFill="1" applyBorder="1" applyAlignment="1">
      <alignment horizontal="left" vertical="center" wrapText="1"/>
    </xf>
    <xf numFmtId="0" fontId="38" fillId="19" borderId="15" xfId="1" applyFont="1" applyFill="1" applyBorder="1" applyAlignment="1">
      <alignment horizontal="center"/>
    </xf>
    <xf numFmtId="0" fontId="38" fillId="19" borderId="16" xfId="1" applyFont="1" applyFill="1" applyBorder="1" applyAlignment="1">
      <alignment horizontal="center"/>
    </xf>
    <xf numFmtId="0" fontId="38" fillId="19" borderId="6" xfId="1" applyFont="1" applyFill="1" applyBorder="1" applyAlignment="1">
      <alignment horizontal="center"/>
    </xf>
    <xf numFmtId="0" fontId="38" fillId="19" borderId="1" xfId="1" applyFont="1" applyFill="1" applyBorder="1" applyAlignment="1">
      <alignment horizontal="center"/>
    </xf>
    <xf numFmtId="0" fontId="15" fillId="3" borderId="16" xfId="0" applyFont="1" applyFill="1" applyBorder="1" applyAlignment="1" applyProtection="1">
      <alignment horizontal="center"/>
      <protection locked="0"/>
    </xf>
    <xf numFmtId="0" fontId="15" fillId="3" borderId="17" xfId="0" applyFont="1" applyFill="1" applyBorder="1" applyAlignment="1" applyProtection="1">
      <alignment horizontal="center"/>
      <protection locked="0"/>
    </xf>
    <xf numFmtId="0" fontId="15" fillId="3" borderId="1" xfId="0" applyFont="1" applyFill="1" applyBorder="1" applyAlignment="1" applyProtection="1">
      <alignment horizontal="center"/>
      <protection locked="0"/>
    </xf>
    <xf numFmtId="0" fontId="15" fillId="3" borderId="7" xfId="0" applyFont="1" applyFill="1" applyBorder="1" applyAlignment="1" applyProtection="1">
      <alignment horizontal="center"/>
      <protection locked="0"/>
    </xf>
    <xf numFmtId="0" fontId="14" fillId="17" borderId="28" xfId="0" applyFont="1" applyFill="1" applyBorder="1" applyAlignment="1">
      <alignment horizontal="center" vertical="center"/>
    </xf>
    <xf numFmtId="0" fontId="36" fillId="3" borderId="33" xfId="0" applyFont="1" applyFill="1" applyBorder="1" applyAlignment="1">
      <alignment horizontal="left" vertical="center"/>
    </xf>
    <xf numFmtId="0" fontId="0" fillId="3" borderId="16" xfId="0" applyFill="1" applyBorder="1" applyAlignment="1" applyProtection="1">
      <alignment horizontal="left" vertical="center"/>
      <protection locked="0"/>
    </xf>
    <xf numFmtId="0" fontId="0" fillId="3" borderId="17" xfId="0" applyFill="1" applyBorder="1" applyAlignment="1" applyProtection="1">
      <alignment horizontal="left" vertical="center"/>
      <protection locked="0"/>
    </xf>
    <xf numFmtId="0" fontId="0" fillId="3" borderId="1" xfId="0" applyFill="1" applyBorder="1" applyAlignment="1" applyProtection="1">
      <alignment horizontal="left" vertical="center"/>
      <protection locked="0"/>
    </xf>
    <xf numFmtId="0" fontId="0" fillId="3" borderId="7" xfId="0" applyFill="1" applyBorder="1" applyAlignment="1" applyProtection="1">
      <alignment horizontal="left" vertical="center"/>
      <protection locked="0"/>
    </xf>
    <xf numFmtId="0" fontId="0" fillId="3" borderId="4" xfId="0" applyFill="1" applyBorder="1" applyAlignment="1" applyProtection="1">
      <alignment horizontal="left" vertical="center"/>
      <protection locked="0"/>
    </xf>
    <xf numFmtId="0" fontId="0" fillId="3" borderId="5" xfId="0" applyFill="1" applyBorder="1" applyAlignment="1" applyProtection="1">
      <alignment horizontal="left" vertical="center"/>
      <protection locked="0"/>
    </xf>
    <xf numFmtId="0" fontId="0" fillId="19" borderId="15" xfId="0" applyFill="1" applyBorder="1" applyAlignment="1">
      <alignment horizontal="left"/>
    </xf>
    <xf numFmtId="0" fontId="0" fillId="19" borderId="16" xfId="0" applyFill="1" applyBorder="1" applyAlignment="1">
      <alignment horizontal="left"/>
    </xf>
    <xf numFmtId="0" fontId="0" fillId="19" borderId="6" xfId="0" applyFill="1" applyBorder="1" applyAlignment="1">
      <alignment horizontal="left"/>
    </xf>
    <xf numFmtId="0" fontId="0" fillId="19" borderId="1" xfId="0" applyFill="1" applyBorder="1" applyAlignment="1">
      <alignment horizontal="left"/>
    </xf>
    <xf numFmtId="0" fontId="0" fillId="19" borderId="3" xfId="0" applyFill="1" applyBorder="1" applyAlignment="1">
      <alignment horizontal="left"/>
    </xf>
    <xf numFmtId="0" fontId="0" fillId="19" borderId="4" xfId="0" applyFill="1" applyBorder="1" applyAlignment="1">
      <alignment horizontal="left"/>
    </xf>
    <xf numFmtId="0" fontId="1" fillId="15" borderId="16" xfId="0" applyFont="1" applyFill="1" applyBorder="1" applyAlignment="1">
      <alignment horizontal="center" vertical="center" textRotation="72"/>
    </xf>
    <xf numFmtId="0" fontId="1" fillId="15" borderId="1" xfId="0" applyFont="1" applyFill="1" applyBorder="1" applyAlignment="1">
      <alignment horizontal="center" vertical="center" textRotation="72"/>
    </xf>
    <xf numFmtId="0" fontId="1" fillId="15" borderId="22" xfId="0" applyFont="1" applyFill="1" applyBorder="1" applyAlignment="1">
      <alignment horizontal="center" vertical="center" textRotation="72"/>
    </xf>
    <xf numFmtId="0" fontId="12" fillId="13" borderId="17" xfId="0" applyFont="1" applyFill="1" applyBorder="1" applyAlignment="1">
      <alignment horizontal="center" vertical="center" textRotation="72"/>
    </xf>
    <xf numFmtId="0" fontId="12" fillId="13" borderId="7" xfId="0" applyFont="1" applyFill="1" applyBorder="1" applyAlignment="1">
      <alignment horizontal="center" vertical="center" textRotation="72"/>
    </xf>
    <xf numFmtId="0" fontId="12" fillId="13" borderId="23" xfId="0" applyFont="1" applyFill="1" applyBorder="1" applyAlignment="1">
      <alignment horizontal="center" vertical="center" textRotation="72"/>
    </xf>
    <xf numFmtId="0" fontId="15" fillId="14" borderId="16" xfId="0" applyFont="1" applyFill="1" applyBorder="1" applyAlignment="1">
      <alignment horizontal="center" vertical="center" textRotation="72"/>
    </xf>
    <xf numFmtId="0" fontId="15" fillId="14" borderId="1" xfId="0" applyFont="1" applyFill="1" applyBorder="1" applyAlignment="1">
      <alignment horizontal="center" vertical="center" textRotation="72"/>
    </xf>
    <xf numFmtId="0" fontId="15" fillId="14" borderId="22" xfId="0" applyFont="1" applyFill="1" applyBorder="1" applyAlignment="1">
      <alignment horizontal="center" vertical="center" textRotation="72"/>
    </xf>
    <xf numFmtId="0" fontId="0" fillId="3" borderId="0" xfId="0" applyFill="1" applyAlignment="1">
      <alignment horizontal="center"/>
    </xf>
    <xf numFmtId="0" fontId="12" fillId="13" borderId="3" xfId="0" applyFont="1" applyFill="1" applyBorder="1" applyAlignment="1">
      <alignment horizontal="center" vertical="center"/>
    </xf>
    <xf numFmtId="0" fontId="12" fillId="13" borderId="4" xfId="0" applyFont="1" applyFill="1" applyBorder="1" applyAlignment="1">
      <alignment horizontal="center" vertical="center"/>
    </xf>
    <xf numFmtId="0" fontId="15" fillId="9" borderId="15" xfId="0" applyFont="1" applyFill="1" applyBorder="1" applyAlignment="1">
      <alignment horizontal="center" vertical="center"/>
    </xf>
    <xf numFmtId="0" fontId="15" fillId="9" borderId="16" xfId="0" applyFont="1" applyFill="1" applyBorder="1" applyAlignment="1">
      <alignment horizontal="center" vertical="center"/>
    </xf>
    <xf numFmtId="0" fontId="1" fillId="11" borderId="6" xfId="0" applyFont="1" applyFill="1" applyBorder="1" applyAlignment="1">
      <alignment horizontal="center" vertical="center"/>
    </xf>
    <xf numFmtId="0" fontId="1" fillId="11" borderId="1" xfId="0" applyFont="1" applyFill="1" applyBorder="1" applyAlignment="1">
      <alignment horizontal="center" vertical="center"/>
    </xf>
    <xf numFmtId="0" fontId="1" fillId="15" borderId="6" xfId="0" applyFont="1" applyFill="1" applyBorder="1" applyAlignment="1">
      <alignment horizontal="center" vertical="center"/>
    </xf>
    <xf numFmtId="0" fontId="1" fillId="15" borderId="1" xfId="0" applyFont="1" applyFill="1" applyBorder="1" applyAlignment="1">
      <alignment horizontal="center" vertical="center"/>
    </xf>
    <xf numFmtId="0" fontId="13" fillId="14" borderId="6" xfId="0" applyFont="1" applyFill="1" applyBorder="1" applyAlignment="1">
      <alignment horizontal="center" vertical="center"/>
    </xf>
    <xf numFmtId="0" fontId="13" fillId="14" borderId="1" xfId="0" applyFont="1" applyFill="1" applyBorder="1" applyAlignment="1">
      <alignment horizontal="center" vertical="center"/>
    </xf>
    <xf numFmtId="0" fontId="15" fillId="3" borderId="15" xfId="0" applyFont="1" applyFill="1" applyBorder="1" applyAlignment="1">
      <alignment horizontal="center" vertical="center"/>
    </xf>
    <xf numFmtId="0" fontId="15" fillId="3" borderId="16" xfId="0" applyFont="1" applyFill="1" applyBorder="1" applyAlignment="1">
      <alignment horizontal="center" vertical="center"/>
    </xf>
    <xf numFmtId="0" fontId="15" fillId="3" borderId="17"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7" xfId="0" applyFont="1" applyFill="1" applyBorder="1" applyAlignment="1">
      <alignment horizontal="center" vertical="center"/>
    </xf>
    <xf numFmtId="0" fontId="0" fillId="3" borderId="36" xfId="0" applyFill="1" applyBorder="1" applyAlignment="1">
      <alignment horizontal="left" vertical="center" wrapText="1"/>
    </xf>
    <xf numFmtId="0" fontId="0" fillId="3" borderId="35" xfId="0" applyFill="1" applyBorder="1" applyAlignment="1">
      <alignment horizontal="left" vertical="center" wrapText="1"/>
    </xf>
    <xf numFmtId="0" fontId="0" fillId="3" borderId="28" xfId="0" applyFill="1" applyBorder="1" applyAlignment="1">
      <alignment horizontal="left" vertical="center" wrapText="1"/>
    </xf>
    <xf numFmtId="0" fontId="0" fillId="3" borderId="0" xfId="0" applyFill="1" applyBorder="1" applyAlignment="1">
      <alignment horizontal="left" vertical="center" wrapText="1"/>
    </xf>
    <xf numFmtId="0" fontId="0" fillId="3" borderId="38" xfId="0" applyFill="1" applyBorder="1" applyAlignment="1">
      <alignment horizontal="left" vertical="center" wrapText="1"/>
    </xf>
    <xf numFmtId="0" fontId="0" fillId="3" borderId="31" xfId="0" applyFill="1" applyBorder="1" applyAlignment="1">
      <alignment horizontal="left" vertical="center" wrapText="1"/>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5" fillId="9" borderId="15" xfId="0" applyFont="1" applyFill="1" applyBorder="1" applyAlignment="1">
      <alignment horizontal="center" vertical="center" textRotation="72"/>
    </xf>
    <xf numFmtId="0" fontId="15" fillId="9" borderId="6" xfId="0" applyFont="1" applyFill="1" applyBorder="1" applyAlignment="1">
      <alignment horizontal="center" vertical="center" textRotation="72"/>
    </xf>
    <xf numFmtId="0" fontId="15" fillId="9" borderId="21" xfId="0" applyFont="1" applyFill="1" applyBorder="1" applyAlignment="1">
      <alignment horizontal="center" vertical="center" textRotation="72"/>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13" xfId="0" applyFont="1" applyFill="1" applyBorder="1" applyAlignment="1">
      <alignment horizontal="center" vertical="center"/>
    </xf>
    <xf numFmtId="0" fontId="1" fillId="3" borderId="0" xfId="0" applyFont="1" applyFill="1" applyBorder="1" applyAlignment="1">
      <alignment horizontal="center" vertical="top" wrapText="1"/>
    </xf>
    <xf numFmtId="0" fontId="0" fillId="3" borderId="37" xfId="0" applyFill="1" applyBorder="1" applyAlignment="1">
      <alignment horizontal="left" vertical="center" wrapText="1"/>
    </xf>
    <xf numFmtId="0" fontId="0" fillId="3" borderId="34" xfId="0" applyFill="1" applyBorder="1" applyAlignment="1">
      <alignment horizontal="left" vertical="center" wrapText="1"/>
    </xf>
    <xf numFmtId="0" fontId="0" fillId="3" borderId="39" xfId="0" applyFill="1" applyBorder="1" applyAlignment="1">
      <alignment horizontal="left" vertical="center" wrapText="1"/>
    </xf>
    <xf numFmtId="0" fontId="1" fillId="11" borderId="16" xfId="0" applyFont="1" applyFill="1" applyBorder="1" applyAlignment="1">
      <alignment horizontal="center" vertical="center" textRotation="72"/>
    </xf>
    <xf numFmtId="0" fontId="1" fillId="11" borderId="1" xfId="0" applyFont="1" applyFill="1" applyBorder="1" applyAlignment="1">
      <alignment horizontal="center" vertical="center" textRotation="72"/>
    </xf>
    <xf numFmtId="0" fontId="1" fillId="11" borderId="22" xfId="0" applyFont="1" applyFill="1" applyBorder="1" applyAlignment="1">
      <alignment horizontal="center" vertical="center" textRotation="72"/>
    </xf>
    <xf numFmtId="0" fontId="21" fillId="2" borderId="1" xfId="0" applyFont="1" applyFill="1" applyBorder="1" applyAlignment="1">
      <alignment horizontal="center" vertical="center" wrapText="1"/>
    </xf>
    <xf numFmtId="0" fontId="21" fillId="10" borderId="1" xfId="0" applyFont="1" applyFill="1" applyBorder="1" applyAlignment="1">
      <alignment horizontal="center" vertical="center" wrapText="1"/>
    </xf>
    <xf numFmtId="0" fontId="21" fillId="8" borderId="1" xfId="0" applyFont="1" applyFill="1" applyBorder="1" applyAlignment="1">
      <alignment horizontal="center" vertical="center" wrapText="1"/>
    </xf>
    <xf numFmtId="0" fontId="0" fillId="3" borderId="15" xfId="0" applyFont="1" applyFill="1" applyBorder="1" applyAlignment="1">
      <alignment horizontal="center" wrapText="1"/>
    </xf>
    <xf numFmtId="0" fontId="0" fillId="3" borderId="3" xfId="0" applyFont="1" applyFill="1" applyBorder="1" applyAlignment="1">
      <alignment horizontal="center" wrapText="1"/>
    </xf>
    <xf numFmtId="0" fontId="21" fillId="9" borderId="1"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18" fillId="0" borderId="0" xfId="0" applyFont="1" applyBorder="1" applyAlignment="1" applyProtection="1">
      <alignment horizontal="center" vertical="center" wrapText="1"/>
    </xf>
    <xf numFmtId="0" fontId="19" fillId="0" borderId="0" xfId="1" applyFont="1" applyBorder="1" applyAlignment="1" applyProtection="1">
      <alignment horizontal="center" vertical="center" wrapText="1"/>
    </xf>
    <xf numFmtId="0" fontId="21" fillId="7" borderId="1" xfId="0" applyFont="1" applyFill="1" applyBorder="1" applyAlignment="1">
      <alignment horizontal="center" vertical="center" wrapText="1"/>
    </xf>
    <xf numFmtId="0" fontId="0" fillId="3" borderId="17" xfId="0" applyFont="1" applyFill="1" applyBorder="1" applyAlignment="1">
      <alignment horizontal="center" wrapText="1"/>
    </xf>
    <xf numFmtId="0" fontId="0" fillId="3" borderId="5" xfId="0" applyFont="1" applyFill="1" applyBorder="1" applyAlignment="1">
      <alignment horizontal="center" wrapText="1"/>
    </xf>
    <xf numFmtId="0" fontId="0" fillId="3" borderId="16" xfId="0" applyFont="1" applyFill="1" applyBorder="1" applyAlignment="1">
      <alignment horizontal="center" wrapText="1"/>
    </xf>
    <xf numFmtId="0" fontId="0" fillId="3" borderId="4" xfId="0" applyFont="1" applyFill="1" applyBorder="1" applyAlignment="1">
      <alignment horizontal="center" wrapText="1"/>
    </xf>
  </cellXfs>
  <cellStyles count="2">
    <cellStyle name="Hyperlink" xfId="1" builtinId="8"/>
    <cellStyle name="Normal" xfId="0" builtinId="0"/>
  </cellStyles>
  <dxfs count="71">
    <dxf>
      <fill>
        <patternFill>
          <bgColor theme="0" tint="-0.14996795556505021"/>
        </patternFill>
      </fill>
    </dxf>
    <dxf>
      <fill>
        <patternFill>
          <bgColor theme="0" tint="-0.14996795556505021"/>
        </patternFill>
      </fill>
    </dxf>
    <dxf>
      <font>
        <b/>
        <i val="0"/>
        <color theme="0"/>
      </font>
      <fill>
        <patternFill>
          <bgColor rgb="FFFF0000"/>
        </patternFill>
      </fill>
    </dxf>
    <dxf>
      <fill>
        <patternFill>
          <bgColor rgb="FFFFFF00"/>
        </patternFill>
      </fill>
    </dxf>
    <dxf>
      <fill>
        <patternFill>
          <bgColor rgb="FFFFC000"/>
        </patternFill>
      </fill>
    </dxf>
    <dxf>
      <fill>
        <patternFill>
          <bgColor rgb="FFB4FF00"/>
        </patternFill>
      </fill>
    </dxf>
    <dxf>
      <fill>
        <patternFill>
          <bgColor rgb="FF00FF00"/>
        </patternFill>
      </fill>
    </dxf>
    <dxf>
      <fill>
        <patternFill>
          <bgColor theme="7" tint="0.59996337778862885"/>
        </patternFill>
      </fill>
    </dxf>
    <dxf>
      <fill>
        <patternFill>
          <bgColor theme="0" tint="-0.14996795556505021"/>
        </patternFill>
      </fill>
    </dxf>
    <dxf>
      <font>
        <b/>
        <i val="0"/>
        <color theme="0"/>
      </font>
      <fill>
        <patternFill>
          <bgColor rgb="FFFF0000"/>
        </patternFill>
      </fill>
    </dxf>
    <dxf>
      <fill>
        <patternFill>
          <bgColor rgb="FFFFFF00"/>
        </patternFill>
      </fill>
    </dxf>
    <dxf>
      <fill>
        <patternFill>
          <bgColor rgb="FFFFC000"/>
        </patternFill>
      </fill>
    </dxf>
    <dxf>
      <fill>
        <patternFill>
          <bgColor rgb="FFB4FF00"/>
        </patternFill>
      </fill>
    </dxf>
    <dxf>
      <fill>
        <patternFill>
          <bgColor rgb="FF00FF00"/>
        </patternFill>
      </fill>
    </dxf>
    <dxf>
      <fill>
        <patternFill>
          <bgColor theme="7" tint="0.59996337778862885"/>
        </patternFill>
      </fill>
    </dxf>
    <dxf>
      <font>
        <b/>
        <i val="0"/>
        <color theme="0"/>
      </font>
      <fill>
        <patternFill>
          <bgColor rgb="FFFF0000"/>
        </patternFill>
      </fill>
    </dxf>
    <dxf>
      <fill>
        <patternFill>
          <bgColor rgb="FFFFFF00"/>
        </patternFill>
      </fill>
    </dxf>
    <dxf>
      <fill>
        <patternFill>
          <bgColor rgb="FFFFC000"/>
        </patternFill>
      </fill>
    </dxf>
    <dxf>
      <fill>
        <patternFill>
          <bgColor rgb="FFB4FF00"/>
        </patternFill>
      </fill>
    </dxf>
    <dxf>
      <fill>
        <patternFill>
          <bgColor rgb="FF00FF00"/>
        </patternFill>
      </fill>
    </dxf>
    <dxf>
      <fill>
        <patternFill>
          <bgColor theme="7" tint="0.59996337778862885"/>
        </patternFill>
      </fill>
    </dxf>
    <dxf>
      <fill>
        <patternFill>
          <bgColor theme="0" tint="-0.14996795556505021"/>
        </patternFill>
      </fill>
    </dxf>
    <dxf>
      <font>
        <b/>
        <i val="0"/>
        <color theme="0"/>
      </font>
      <fill>
        <patternFill>
          <bgColor rgb="FFFF0000"/>
        </patternFill>
      </fill>
    </dxf>
    <dxf>
      <fill>
        <patternFill>
          <bgColor rgb="FFFFFF00"/>
        </patternFill>
      </fill>
    </dxf>
    <dxf>
      <fill>
        <patternFill>
          <bgColor rgb="FFFFC000"/>
        </patternFill>
      </fill>
    </dxf>
    <dxf>
      <fill>
        <patternFill>
          <bgColor rgb="FFB4FF00"/>
        </patternFill>
      </fill>
    </dxf>
    <dxf>
      <fill>
        <patternFill>
          <bgColor rgb="FF00FF00"/>
        </patternFill>
      </fill>
    </dxf>
    <dxf>
      <fill>
        <patternFill>
          <bgColor theme="7" tint="0.59996337778862885"/>
        </patternFill>
      </fill>
    </dxf>
    <dxf>
      <fill>
        <patternFill>
          <bgColor theme="0" tint="-0.14996795556505021"/>
        </patternFill>
      </fill>
    </dxf>
    <dxf>
      <font>
        <b/>
        <i val="0"/>
        <color theme="0"/>
      </font>
      <fill>
        <patternFill>
          <bgColor rgb="FFFF0000"/>
        </patternFill>
      </fill>
    </dxf>
    <dxf>
      <fill>
        <patternFill>
          <bgColor rgb="FFFFFF00"/>
        </patternFill>
      </fill>
    </dxf>
    <dxf>
      <fill>
        <patternFill>
          <bgColor rgb="FFFFC000"/>
        </patternFill>
      </fill>
    </dxf>
    <dxf>
      <fill>
        <patternFill>
          <bgColor rgb="FFB4FF00"/>
        </patternFill>
      </fill>
    </dxf>
    <dxf>
      <fill>
        <patternFill>
          <bgColor rgb="FF00FF00"/>
        </patternFill>
      </fill>
    </dxf>
    <dxf>
      <fill>
        <patternFill>
          <bgColor theme="7" tint="0.59996337778862885"/>
        </patternFill>
      </fill>
    </dxf>
    <dxf>
      <fill>
        <patternFill>
          <bgColor theme="0" tint="-0.14996795556505021"/>
        </patternFill>
      </fill>
    </dxf>
    <dxf>
      <font>
        <b/>
        <i val="0"/>
        <color theme="0"/>
      </font>
      <fill>
        <patternFill>
          <bgColor rgb="FFFF0000"/>
        </patternFill>
      </fill>
    </dxf>
    <dxf>
      <fill>
        <patternFill>
          <bgColor rgb="FFFFFF00"/>
        </patternFill>
      </fill>
    </dxf>
    <dxf>
      <fill>
        <patternFill>
          <bgColor rgb="FFFFC000"/>
        </patternFill>
      </fill>
    </dxf>
    <dxf>
      <fill>
        <patternFill>
          <bgColor rgb="FFB4FF00"/>
        </patternFill>
      </fill>
    </dxf>
    <dxf>
      <fill>
        <patternFill>
          <bgColor rgb="FF00FF00"/>
        </patternFill>
      </fill>
    </dxf>
    <dxf>
      <fill>
        <patternFill>
          <bgColor theme="7" tint="0.59996337778862885"/>
        </patternFill>
      </fill>
    </dxf>
    <dxf>
      <fill>
        <patternFill>
          <bgColor theme="0" tint="-0.14996795556505021"/>
        </patternFill>
      </fill>
    </dxf>
    <dxf>
      <font>
        <b/>
        <i val="0"/>
        <color theme="0"/>
      </font>
      <fill>
        <patternFill>
          <bgColor rgb="FFFF0000"/>
        </patternFill>
      </fill>
    </dxf>
    <dxf>
      <fill>
        <patternFill>
          <bgColor rgb="FFFFFF00"/>
        </patternFill>
      </fill>
    </dxf>
    <dxf>
      <fill>
        <patternFill>
          <bgColor rgb="FFFFC000"/>
        </patternFill>
      </fill>
    </dxf>
    <dxf>
      <fill>
        <patternFill>
          <bgColor rgb="FFB4FF00"/>
        </patternFill>
      </fill>
    </dxf>
    <dxf>
      <fill>
        <patternFill>
          <bgColor rgb="FF00FF00"/>
        </patternFill>
      </fill>
    </dxf>
    <dxf>
      <fill>
        <patternFill>
          <bgColor theme="7" tint="0.59996337778862885"/>
        </patternFill>
      </fill>
    </dxf>
    <dxf>
      <font>
        <b/>
        <i val="0"/>
        <color theme="0"/>
      </font>
      <fill>
        <patternFill>
          <bgColor rgb="FFFF0000"/>
        </patternFill>
      </fill>
    </dxf>
    <dxf>
      <fill>
        <patternFill>
          <bgColor rgb="FFFFFF00"/>
        </patternFill>
      </fill>
    </dxf>
    <dxf>
      <fill>
        <patternFill>
          <bgColor rgb="FFFFC000"/>
        </patternFill>
      </fill>
    </dxf>
    <dxf>
      <fill>
        <patternFill>
          <bgColor rgb="FFB4FF00"/>
        </patternFill>
      </fill>
    </dxf>
    <dxf>
      <fill>
        <patternFill>
          <bgColor rgb="FF00FF00"/>
        </patternFill>
      </fill>
    </dxf>
    <dxf>
      <fill>
        <patternFill>
          <bgColor theme="7" tint="0.59996337778862885"/>
        </patternFill>
      </fill>
    </dxf>
    <dxf>
      <font>
        <b/>
        <i val="0"/>
        <color theme="0"/>
      </font>
      <fill>
        <patternFill>
          <bgColor rgb="FFFF0000"/>
        </patternFill>
      </fill>
    </dxf>
    <dxf>
      <fill>
        <patternFill>
          <bgColor rgb="FFFFFF00"/>
        </patternFill>
      </fill>
    </dxf>
    <dxf>
      <fill>
        <patternFill>
          <bgColor rgb="FFFFC000"/>
        </patternFill>
      </fill>
    </dxf>
    <dxf>
      <fill>
        <patternFill>
          <bgColor rgb="FFB4FF00"/>
        </patternFill>
      </fill>
    </dxf>
    <dxf>
      <fill>
        <patternFill>
          <bgColor rgb="FF00FF00"/>
        </patternFill>
      </fill>
    </dxf>
    <dxf>
      <fill>
        <patternFill>
          <bgColor theme="7" tint="0.59996337778862885"/>
        </patternFill>
      </fill>
    </dxf>
    <dxf>
      <fill>
        <patternFill>
          <bgColor theme="0" tint="-0.14996795556505021"/>
        </patternFill>
      </fill>
    </dxf>
    <dxf>
      <font>
        <color theme="0"/>
      </font>
      <fill>
        <patternFill>
          <bgColor rgb="FFFF0000"/>
        </patternFill>
      </fill>
    </dxf>
    <dxf>
      <fill>
        <patternFill>
          <bgColor rgb="FF00FF00"/>
        </patternFill>
      </fill>
    </dxf>
    <dxf>
      <fill>
        <patternFill>
          <bgColor rgb="FFB4FF00"/>
        </patternFill>
      </fill>
    </dxf>
    <dxf>
      <fill>
        <patternFill>
          <bgColor rgb="FF00FF00"/>
        </patternFill>
      </fill>
    </dxf>
    <dxf>
      <fill>
        <patternFill>
          <bgColor rgb="FFB4FF00"/>
        </patternFill>
      </fill>
    </dxf>
    <dxf>
      <fill>
        <patternFill>
          <bgColor rgb="FFFFFF00"/>
        </patternFill>
      </fill>
    </dxf>
    <dxf>
      <fill>
        <patternFill>
          <bgColor rgb="FFFFE699"/>
        </patternFill>
      </fill>
    </dxf>
    <dxf>
      <font>
        <color theme="0"/>
      </font>
      <fill>
        <patternFill>
          <bgColor rgb="FFFF0000"/>
        </patternFill>
      </fill>
    </dxf>
    <dxf>
      <font>
        <color auto="1"/>
      </font>
      <fill>
        <patternFill>
          <bgColor theme="0"/>
        </patternFill>
      </fill>
    </dxf>
  </dxfs>
  <tableStyles count="0" defaultTableStyle="TableStyleMedium2" defaultPivotStyle="PivotStyleLight16"/>
  <colors>
    <mruColors>
      <color rgb="FF0000FF"/>
      <color rgb="FFC8FFFF"/>
      <color rgb="FF00CCFF"/>
      <color rgb="FF00FFFF"/>
      <color rgb="FF00FF00"/>
      <color rgb="FFB4FF00"/>
      <color rgb="FFFFE699"/>
      <color rgb="FFC8FF32"/>
      <color rgb="FFFFE69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281375254074021E-2"/>
          <c:y val="7.6849113723980983E-2"/>
          <c:w val="0.532964126321117"/>
          <c:h val="0.83093194980724183"/>
        </c:manualLayout>
      </c:layout>
      <c:pieChart>
        <c:varyColors val="1"/>
        <c:ser>
          <c:idx val="0"/>
          <c:order val="0"/>
          <c:tx>
            <c:strRef>
              <c:f>Synthesis!$C$19</c:f>
              <c:strCache>
                <c:ptCount val="1"/>
                <c:pt idx="0">
                  <c:v>NFR Statuses global view:</c:v>
                </c:pt>
              </c:strCache>
            </c:strRef>
          </c:tx>
          <c:spPr>
            <a:ln w="6350">
              <a:solidFill>
                <a:schemeClr val="tx1"/>
              </a:solidFill>
            </a:ln>
          </c:spPr>
          <c:dPt>
            <c:idx val="0"/>
            <c:bubble3D val="0"/>
            <c:spPr>
              <a:solidFill>
                <a:schemeClr val="accent4">
                  <a:lumMod val="40000"/>
                  <a:lumOff val="60000"/>
                </a:schemeClr>
              </a:solidFill>
              <a:ln w="6350">
                <a:solidFill>
                  <a:schemeClr val="tx1"/>
                </a:solidFill>
              </a:ln>
              <a:effectLst/>
            </c:spPr>
            <c:extLst>
              <c:ext xmlns:c16="http://schemas.microsoft.com/office/drawing/2014/chart" uri="{C3380CC4-5D6E-409C-BE32-E72D297353CC}">
                <c16:uniqueId val="{00000001-54DF-4E54-B2BC-3E6613C828F6}"/>
              </c:ext>
            </c:extLst>
          </c:dPt>
          <c:dPt>
            <c:idx val="1"/>
            <c:bubble3D val="0"/>
            <c:spPr>
              <a:solidFill>
                <a:srgbClr val="FFFF00"/>
              </a:solidFill>
              <a:ln w="6350">
                <a:solidFill>
                  <a:schemeClr val="tx1"/>
                </a:solidFill>
              </a:ln>
              <a:effectLst/>
            </c:spPr>
            <c:extLst>
              <c:ext xmlns:c16="http://schemas.microsoft.com/office/drawing/2014/chart" uri="{C3380CC4-5D6E-409C-BE32-E72D297353CC}">
                <c16:uniqueId val="{00000003-54DF-4E54-B2BC-3E6613C828F6}"/>
              </c:ext>
            </c:extLst>
          </c:dPt>
          <c:dPt>
            <c:idx val="2"/>
            <c:bubble3D val="0"/>
            <c:spPr>
              <a:solidFill>
                <a:srgbClr val="B4FF00"/>
              </a:solidFill>
              <a:ln w="6350">
                <a:solidFill>
                  <a:schemeClr val="tx1"/>
                </a:solidFill>
              </a:ln>
              <a:effectLst/>
            </c:spPr>
            <c:extLst>
              <c:ext xmlns:c16="http://schemas.microsoft.com/office/drawing/2014/chart" uri="{C3380CC4-5D6E-409C-BE32-E72D297353CC}">
                <c16:uniqueId val="{00000005-54DF-4E54-B2BC-3E6613C828F6}"/>
              </c:ext>
            </c:extLst>
          </c:dPt>
          <c:dPt>
            <c:idx val="3"/>
            <c:bubble3D val="0"/>
            <c:spPr>
              <a:solidFill>
                <a:srgbClr val="00FF00"/>
              </a:solidFill>
              <a:ln w="6350">
                <a:solidFill>
                  <a:schemeClr val="tx1"/>
                </a:solidFill>
              </a:ln>
              <a:effectLst/>
            </c:spPr>
            <c:extLst>
              <c:ext xmlns:c16="http://schemas.microsoft.com/office/drawing/2014/chart" uri="{C3380CC4-5D6E-409C-BE32-E72D297353CC}">
                <c16:uniqueId val="{00000001-8914-4792-BB87-80C98DD6FB3F}"/>
              </c:ext>
            </c:extLst>
          </c:dPt>
          <c:dPt>
            <c:idx val="4"/>
            <c:bubble3D val="0"/>
            <c:spPr>
              <a:solidFill>
                <a:srgbClr val="FF0000"/>
              </a:solidFill>
              <a:ln w="6350">
                <a:solidFill>
                  <a:schemeClr val="tx1"/>
                </a:solidFill>
              </a:ln>
              <a:effectLst/>
            </c:spPr>
            <c:extLst>
              <c:ext xmlns:c16="http://schemas.microsoft.com/office/drawing/2014/chart" uri="{C3380CC4-5D6E-409C-BE32-E72D297353CC}">
                <c16:uniqueId val="{00000009-54DF-4E54-B2BC-3E6613C828F6}"/>
              </c:ext>
            </c:extLst>
          </c:dPt>
          <c:cat>
            <c:strRef>
              <c:f>Synthesis!$C$22:$D$26</c:f>
              <c:strCache>
                <c:ptCount val="5"/>
                <c:pt idx="0">
                  <c:v>Proposed</c:v>
                </c:pt>
                <c:pt idx="1">
                  <c:v>Accepted</c:v>
                </c:pt>
                <c:pt idx="2">
                  <c:v>Implemented</c:v>
                </c:pt>
                <c:pt idx="3">
                  <c:v>Verified</c:v>
                </c:pt>
                <c:pt idx="4">
                  <c:v>Not feasible</c:v>
                </c:pt>
              </c:strCache>
            </c:strRef>
          </c:cat>
          <c:val>
            <c:numRef>
              <c:f>Synthesis!$E$22:$E$26</c:f>
              <c:numCache>
                <c:formatCode>General</c:formatCode>
                <c:ptCount val="5"/>
                <c:pt idx="0">
                  <c:v>133</c:v>
                </c:pt>
                <c:pt idx="1">
                  <c:v>0</c:v>
                </c:pt>
                <c:pt idx="2">
                  <c:v>0</c:v>
                </c:pt>
                <c:pt idx="3">
                  <c:v>0</c:v>
                </c:pt>
                <c:pt idx="4">
                  <c:v>0</c:v>
                </c:pt>
              </c:numCache>
            </c:numRef>
          </c:val>
          <c:extLst>
            <c:ext xmlns:c16="http://schemas.microsoft.com/office/drawing/2014/chart" uri="{C3380CC4-5D6E-409C-BE32-E72D297353CC}">
              <c16:uniqueId val="{00000000-8914-4792-BB87-80C98DD6FB3F}"/>
            </c:ext>
          </c:extLst>
        </c:ser>
        <c:dLbls>
          <c:showLegendKey val="0"/>
          <c:showVal val="0"/>
          <c:showCatName val="0"/>
          <c:showSerName val="0"/>
          <c:showPercent val="0"/>
          <c:showBubbleSize val="0"/>
          <c:showLeaderLines val="1"/>
        </c:dLbls>
        <c:firstSliceAng val="0"/>
      </c:pieChart>
      <c:spPr>
        <a:noFill/>
        <a:ln>
          <a:noFill/>
        </a:ln>
        <a:effectLst/>
      </c:spPr>
    </c:plotArea>
    <c:plotVisOnly val="0"/>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14</xdr:col>
      <xdr:colOff>323850</xdr:colOff>
      <xdr:row>0</xdr:row>
      <xdr:rowOff>114300</xdr:rowOff>
    </xdr:from>
    <xdr:to>
      <xdr:col>16</xdr:col>
      <xdr:colOff>703898</xdr:colOff>
      <xdr:row>2</xdr:row>
      <xdr:rowOff>290512</xdr:rowOff>
    </xdr:to>
    <xdr:pic>
      <xdr:nvPicPr>
        <xdr:cNvPr id="2" name="Image 1" descr="Une image contenant texte&#10;&#10;Description générée automatiquement">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420350" y="114300"/>
          <a:ext cx="1904048" cy="5572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133350</xdr:colOff>
      <xdr:row>20</xdr:row>
      <xdr:rowOff>9525</xdr:rowOff>
    </xdr:from>
    <xdr:to>
      <xdr:col>9</xdr:col>
      <xdr:colOff>219075</xdr:colOff>
      <xdr:row>27</xdr:row>
      <xdr:rowOff>93677</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447675</xdr:colOff>
          <xdr:row>7</xdr:row>
          <xdr:rowOff>171450</xdr:rowOff>
        </xdr:from>
        <xdr:to>
          <xdr:col>14</xdr:col>
          <xdr:colOff>276225</xdr:colOff>
          <xdr:row>10</xdr:row>
          <xdr:rowOff>19050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Identify relevant requirements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12</xdr:row>
          <xdr:rowOff>161925</xdr:rowOff>
        </xdr:from>
        <xdr:to>
          <xdr:col>8</xdr:col>
          <xdr:colOff>457200</xdr:colOff>
          <xdr:row>14</xdr:row>
          <xdr:rowOff>28575</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non relevant requirement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342900</xdr:colOff>
          <xdr:row>7</xdr:row>
          <xdr:rowOff>171450</xdr:rowOff>
        </xdr:from>
        <xdr:to>
          <xdr:col>15</xdr:col>
          <xdr:colOff>342900</xdr:colOff>
          <xdr:row>10</xdr:row>
          <xdr:rowOff>19050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10</xdr:row>
          <xdr:rowOff>66675</xdr:rowOff>
        </xdr:from>
        <xdr:to>
          <xdr:col>15</xdr:col>
          <xdr:colOff>333375</xdr:colOff>
          <xdr:row>10</xdr:row>
          <xdr:rowOff>190500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Reset statuses during identification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14</xdr:row>
          <xdr:rowOff>38100</xdr:rowOff>
        </xdr:from>
        <xdr:to>
          <xdr:col>8</xdr:col>
          <xdr:colOff>457200</xdr:colOff>
          <xdr:row>14</xdr:row>
          <xdr:rowOff>180975</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1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Business and BIS requirements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14</xdr:row>
          <xdr:rowOff>171450</xdr:rowOff>
        </xdr:from>
        <xdr:to>
          <xdr:col>9</xdr:col>
          <xdr:colOff>409575</xdr:colOff>
          <xdr:row>15</xdr:row>
          <xdr:rowOff>152400</xdr:rowOff>
        </xdr:to>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Dev and System Integration requirements</a:t>
              </a:r>
            </a:p>
          </xdr:txBody>
        </xdr:sp>
        <xdr:clientData/>
      </xdr:twoCellAnchor>
    </mc:Choice>
    <mc:Fallback/>
  </mc:AlternateContent>
  <xdr:twoCellAnchor>
    <xdr:from>
      <xdr:col>16</xdr:col>
      <xdr:colOff>466725</xdr:colOff>
      <xdr:row>21</xdr:row>
      <xdr:rowOff>9525</xdr:rowOff>
    </xdr:from>
    <xdr:to>
      <xdr:col>17</xdr:col>
      <xdr:colOff>161925</xdr:colOff>
      <xdr:row>23</xdr:row>
      <xdr:rowOff>0</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flipH="1" flipV="1">
          <a:off x="7515225" y="4219575"/>
          <a:ext cx="171450" cy="381000"/>
        </a:xfrm>
        <a:prstGeom prst="straightConnector1">
          <a:avLst/>
        </a:prstGeom>
        <a:ln w="28575">
          <a:solidFill>
            <a:srgbClr val="00CCFF"/>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23</xdr:row>
      <xdr:rowOff>9525</xdr:rowOff>
    </xdr:from>
    <xdr:to>
      <xdr:col>25</xdr:col>
      <xdr:colOff>0</xdr:colOff>
      <xdr:row>24</xdr:row>
      <xdr:rowOff>9525</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a:off x="7048500" y="4610100"/>
          <a:ext cx="4286250" cy="190500"/>
        </a:xfrm>
        <a:prstGeom prst="rect">
          <a:avLst/>
        </a:prstGeom>
        <a:noFill/>
        <a:ln w="38100">
          <a:solidFill>
            <a:srgbClr val="00CC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457200</xdr:colOff>
      <xdr:row>17</xdr:row>
      <xdr:rowOff>190500</xdr:rowOff>
    </xdr:from>
    <xdr:to>
      <xdr:col>19</xdr:col>
      <xdr:colOff>9525</xdr:colOff>
      <xdr:row>21</xdr:row>
      <xdr:rowOff>19050</xdr:rowOff>
    </xdr:to>
    <xdr:sp macro="" textlink="">
      <xdr:nvSpPr>
        <xdr:cNvPr id="15" name="Rectangle 14">
          <a:extLst>
            <a:ext uri="{FF2B5EF4-FFF2-40B4-BE49-F238E27FC236}">
              <a16:creationId xmlns:a16="http://schemas.microsoft.com/office/drawing/2014/main" id="{00000000-0008-0000-0100-00000F000000}"/>
            </a:ext>
          </a:extLst>
        </xdr:cNvPr>
        <xdr:cNvSpPr/>
      </xdr:nvSpPr>
      <xdr:spPr>
        <a:xfrm>
          <a:off x="4648200" y="3619500"/>
          <a:ext cx="3838575" cy="609600"/>
        </a:xfrm>
        <a:prstGeom prst="rect">
          <a:avLst/>
        </a:prstGeom>
        <a:noFill/>
        <a:ln w="38100">
          <a:solidFill>
            <a:srgbClr val="00CC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evelopment.psa-cloud.com/" TargetMode="External"/><Relationship Id="rId13" Type="http://schemas.openxmlformats.org/officeDocument/2006/relationships/hyperlink" Target="https://shiftup.sharepoint.com/sites/protectiongroupe/" TargetMode="External"/><Relationship Id="rId18" Type="http://schemas.openxmlformats.org/officeDocument/2006/relationships/printerSettings" Target="../printerSettings/printerSettings1.bin"/><Relationship Id="rId3" Type="http://schemas.openxmlformats.org/officeDocument/2006/relationships/hyperlink" Target="http://ctr.inetpsa.com/index.php" TargetMode="External"/><Relationship Id="rId7" Type="http://schemas.openxmlformats.org/officeDocument/2006/relationships/hyperlink" Target="https://meteor-it.inetpsa.com/Links___Contacts/Meteor_contacts/Meteor_contacts.html" TargetMode="External"/><Relationship Id="rId12" Type="http://schemas.openxmlformats.org/officeDocument/2006/relationships/hyperlink" Target="https://organigramme.inetpsa.com/?ou=A000090628" TargetMode="External"/><Relationship Id="rId17" Type="http://schemas.openxmlformats.org/officeDocument/2006/relationships/hyperlink" Target="https://enetworkroom.fcagroup.com/sites/Finance/InternalControl/SOXReadinessProject_Doc/SOXChampion/Legacy%20PSA%20SOX%20Champions.pdf" TargetMode="External"/><Relationship Id="rId2" Type="http://schemas.openxmlformats.org/officeDocument/2006/relationships/hyperlink" Target="http://redex.inetpsa.com/en/" TargetMode="External"/><Relationship Id="rId16" Type="http://schemas.openxmlformats.org/officeDocument/2006/relationships/hyperlink" Target="https://meteor-it.inetpsa.com/Tools/RUN_Tools/CTR___BLTEXPLOIT.html" TargetMode="External"/><Relationship Id="rId1" Type="http://schemas.openxmlformats.org/officeDocument/2006/relationships/hyperlink" Target="https://meteor-it.inetpsa.com/Tools/RUN_Tools/PSASM.html" TargetMode="External"/><Relationship Id="rId6" Type="http://schemas.openxmlformats.org/officeDocument/2006/relationships/hyperlink" Target="http://ite.informatique.inetpsa.com/en/sous-rubriques-accueil/contacts-domain" TargetMode="External"/><Relationship Id="rId11" Type="http://schemas.openxmlformats.org/officeDocument/2006/relationships/hyperlink" Target="http://organigramme.inetpsa.com/?ou=A000081826" TargetMode="External"/><Relationship Id="rId5" Type="http://schemas.openxmlformats.org/officeDocument/2006/relationships/hyperlink" Target="https://meteor-it.inetpsa.com/Tools/RUN_Tools/REFANOM.html" TargetMode="External"/><Relationship Id="rId15" Type="http://schemas.openxmlformats.org/officeDocument/2006/relationships/hyperlink" Target="https://psa.csod.com/samldefault.aspx?ouid=2&amp;returnurl=%252fDeepLink%252fProcessRedirect.aspx%253fmodule%253dloRegisterAndLaunch%2526lo%253defcc34f4-44f2-49b7-b3cc-4edb5d9209d9" TargetMode="External"/><Relationship Id="rId10" Type="http://schemas.openxmlformats.org/officeDocument/2006/relationships/hyperlink" Target="https://shiftup.sharepoint.com/sites/cybersecuritypsagroup/SitePages/List-of-RSLD,-RDMI-and-CRIS.aspx" TargetMode="External"/><Relationship Id="rId19" Type="http://schemas.openxmlformats.org/officeDocument/2006/relationships/drawing" Target="../drawings/drawing1.xml"/><Relationship Id="rId4" Type="http://schemas.openxmlformats.org/officeDocument/2006/relationships/hyperlink" Target="https://meteor-it.inetpsa.com/Tools/RUN_Tools/REFLEX.html" TargetMode="External"/><Relationship Id="rId9" Type="http://schemas.openxmlformats.org/officeDocument/2006/relationships/hyperlink" Target="http://application.reflex.inetpsa.com/refappli/consulterGroupeConstitution.do?forward=success&amp;codUser=GCPRA" TargetMode="External"/><Relationship Id="rId14" Type="http://schemas.openxmlformats.org/officeDocument/2006/relationships/hyperlink" Target="http://docinfogroupe.inetpsa.com/ead/doc/ref.20596_17_00935/v.vc/pj"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13" Type="http://schemas.openxmlformats.org/officeDocument/2006/relationships/ctrlProp" Target="../ctrlProps/ctrlProp3.xml"/><Relationship Id="rId3" Type="http://schemas.openxmlformats.org/officeDocument/2006/relationships/hyperlink" Target="http://docinfogroupe.inetpsa.com/ead/doc/ref.01989_17_00035/v.vc/pj" TargetMode="External"/><Relationship Id="rId7" Type="http://schemas.openxmlformats.org/officeDocument/2006/relationships/hyperlink" Target="https://docinfogroupe.stellantis.com/ead/doc/ref.20531_08_01251/v.vc/pj" TargetMode="External"/><Relationship Id="rId12" Type="http://schemas.openxmlformats.org/officeDocument/2006/relationships/ctrlProp" Target="../ctrlProps/ctrlProp2.xml"/><Relationship Id="rId2" Type="http://schemas.openxmlformats.org/officeDocument/2006/relationships/hyperlink" Target="http://docinfogroupe.inetpsa.com/ead/doc/ref.20531_08_01251/v.vc/pj" TargetMode="External"/><Relationship Id="rId16" Type="http://schemas.openxmlformats.org/officeDocument/2006/relationships/ctrlProp" Target="../ctrlProps/ctrlProp6.xml"/><Relationship Id="rId1" Type="http://schemas.openxmlformats.org/officeDocument/2006/relationships/hyperlink" Target="http://docinfogroupe.inetpsa.com/ead/doc/ref.01249_09_00000/v.dp/pj" TargetMode="External"/><Relationship Id="rId6" Type="http://schemas.openxmlformats.org/officeDocument/2006/relationships/hyperlink" Target="https://docinfogroupe.stellantis.com/ead/doc/ref.20596_18_00231/v.vc/pj" TargetMode="External"/><Relationship Id="rId11" Type="http://schemas.openxmlformats.org/officeDocument/2006/relationships/ctrlProp" Target="../ctrlProps/ctrlProp1.xml"/><Relationship Id="rId5" Type="http://schemas.openxmlformats.org/officeDocument/2006/relationships/hyperlink" Target="https://meteor-it.inetpsa.com/Topics/SOX_impacts_on_the_IT_BUILD_and_RUN_processes___tools/SOX_introduction___contacts.html" TargetMode="External"/><Relationship Id="rId15" Type="http://schemas.openxmlformats.org/officeDocument/2006/relationships/ctrlProp" Target="../ctrlProps/ctrlProp5.xml"/><Relationship Id="rId10" Type="http://schemas.openxmlformats.org/officeDocument/2006/relationships/vmlDrawing" Target="../drawings/vmlDrawing1.vml"/><Relationship Id="rId4" Type="http://schemas.openxmlformats.org/officeDocument/2006/relationships/hyperlink" Target="https://meteor-it.inetpsa.com/Topics/GDPR_in_IT_projects/GDPR_global_view.html" TargetMode="External"/><Relationship Id="rId9" Type="http://schemas.openxmlformats.org/officeDocument/2006/relationships/drawing" Target="../drawings/drawing2.xml"/><Relationship Id="rId1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hyperlink" Target="https://docinfogroupe.stellantis.com/ead/doc/ref.20596_19_00131/v.dp/pj" TargetMode="External"/><Relationship Id="rId117" Type="http://schemas.openxmlformats.org/officeDocument/2006/relationships/hyperlink" Target="https://docinfogroupe.stellantis.com/ead/doc/ref.20596_21_00330/v.dp/pj" TargetMode="External"/><Relationship Id="rId21" Type="http://schemas.openxmlformats.org/officeDocument/2006/relationships/hyperlink" Target="https://docinfogroupe.stellantis.com/ead/doc/ref.20596_19_00126/v.dp/pj" TargetMode="External"/><Relationship Id="rId42" Type="http://schemas.openxmlformats.org/officeDocument/2006/relationships/hyperlink" Target="https://docinfogroupe.stellantis.com/ead/doc/ref.20596_19_00146/v.dp/pj" TargetMode="External"/><Relationship Id="rId47" Type="http://schemas.openxmlformats.org/officeDocument/2006/relationships/hyperlink" Target="https://docinfogroupe.stellantis.com/ead/doc/ref.20596_19_00152/v.dp/pj" TargetMode="External"/><Relationship Id="rId63" Type="http://schemas.openxmlformats.org/officeDocument/2006/relationships/hyperlink" Target="https://docinfogroupe.stellantis.com/ead/doc/ref.20596_19_00168/v.dp/pj" TargetMode="External"/><Relationship Id="rId68" Type="http://schemas.openxmlformats.org/officeDocument/2006/relationships/hyperlink" Target="https://docinfogroupe.stellantis.com/ead/doc/ref.20596_19_00172/v.dp/pj" TargetMode="External"/><Relationship Id="rId84" Type="http://schemas.openxmlformats.org/officeDocument/2006/relationships/hyperlink" Target="https://docinfogroupe.stellantis.com/ead/doc/ref.20596_19_00097/v.dp/pj" TargetMode="External"/><Relationship Id="rId89" Type="http://schemas.openxmlformats.org/officeDocument/2006/relationships/hyperlink" Target="http://ite.informatique.inetpsa.com/?id=1675" TargetMode="External"/><Relationship Id="rId112" Type="http://schemas.openxmlformats.org/officeDocument/2006/relationships/hyperlink" Target="https://docinfogroupe.psa-peugeot-citroen.com/ead/doc/ref.20596_19_00100/v.dp/pj" TargetMode="External"/><Relationship Id="rId133" Type="http://schemas.openxmlformats.org/officeDocument/2006/relationships/hyperlink" Target="https://docinfogroupe.stellantis.com/ead/doc/ref.20596_23_00013/v.dp/pj" TargetMode="External"/><Relationship Id="rId138" Type="http://schemas.openxmlformats.org/officeDocument/2006/relationships/hyperlink" Target="https://docinfogroupe.stellantis.com/ead/doc/ref.20596_23_00017/v.dp/pj" TargetMode="External"/><Relationship Id="rId16" Type="http://schemas.openxmlformats.org/officeDocument/2006/relationships/hyperlink" Target="https://docinfogroupe.stellantis.com/ead/doc/ref.20596_19_00121/v.dp/pj" TargetMode="External"/><Relationship Id="rId107" Type="http://schemas.openxmlformats.org/officeDocument/2006/relationships/hyperlink" Target="https://docinfogroupe.stellantis.com/ead/doc/ref.20596_20_00421/v.dp/pj" TargetMode="External"/><Relationship Id="rId11" Type="http://schemas.openxmlformats.org/officeDocument/2006/relationships/hyperlink" Target="http://ite.informatique.inetpsa.com/?id=1663" TargetMode="External"/><Relationship Id="rId32" Type="http://schemas.openxmlformats.org/officeDocument/2006/relationships/hyperlink" Target="https://docinfogroupe.stellantis.com/ead/doc/ref.20596_19_00136/v.dp/pj" TargetMode="External"/><Relationship Id="rId37" Type="http://schemas.openxmlformats.org/officeDocument/2006/relationships/hyperlink" Target="https://docinfogroupe.stellantis.com/ead/doc/ref.20596_19_00141/v.dp/pj" TargetMode="External"/><Relationship Id="rId53" Type="http://schemas.openxmlformats.org/officeDocument/2006/relationships/hyperlink" Target="https://docinfogroupe.stellantis.com/ead/doc/ref.20596_19_00158/v.dp/pj" TargetMode="External"/><Relationship Id="rId58" Type="http://schemas.openxmlformats.org/officeDocument/2006/relationships/hyperlink" Target="https://docinfogroupe.stellantis.com/ead/doc/ref.20596_19_00163/v.dp/pj" TargetMode="External"/><Relationship Id="rId74" Type="http://schemas.openxmlformats.org/officeDocument/2006/relationships/hyperlink" Target="https://docinfogroupe.psa-peugeot-citroen.com/ead/doc/ref.20596_19_00178/v.dp/pj" TargetMode="External"/><Relationship Id="rId79" Type="http://schemas.openxmlformats.org/officeDocument/2006/relationships/hyperlink" Target="https://docinfogroupe.stellantis.com/ead/doc/ref.20596_19_00183/v.dp/pj" TargetMode="External"/><Relationship Id="rId102" Type="http://schemas.openxmlformats.org/officeDocument/2006/relationships/hyperlink" Target="https://docinfogroupe.stellantis.com/ead/doc/ref.20596_19_00112/v.dp/pj" TargetMode="External"/><Relationship Id="rId123" Type="http://schemas.openxmlformats.org/officeDocument/2006/relationships/hyperlink" Target="https://docinfogroupe.stellantis.com/ead/doc/ref.20596_21_00341/v.dp/pj" TargetMode="External"/><Relationship Id="rId128" Type="http://schemas.openxmlformats.org/officeDocument/2006/relationships/hyperlink" Target="https://docinfogroupe.stellantis.com/ead/doc/ref.20596_21_00353/v.dp/pj" TargetMode="External"/><Relationship Id="rId5" Type="http://schemas.openxmlformats.org/officeDocument/2006/relationships/hyperlink" Target="http://ite.informatique.inetpsa.com/?id=1663" TargetMode="External"/><Relationship Id="rId90" Type="http://schemas.openxmlformats.org/officeDocument/2006/relationships/hyperlink" Target="https://docinfogroupe.stellantis.com/ead/doc/ref.20596_19_00127/v.dp/pj" TargetMode="External"/><Relationship Id="rId95" Type="http://schemas.openxmlformats.org/officeDocument/2006/relationships/hyperlink" Target="https://docinfogroupe.stellantis.com/ead/doc/ref.20596_19_00099/v.dp/pj" TargetMode="External"/><Relationship Id="rId22" Type="http://schemas.openxmlformats.org/officeDocument/2006/relationships/hyperlink" Target="http://ite.informatique.inetpsa.com/?id=1675" TargetMode="External"/><Relationship Id="rId27" Type="http://schemas.openxmlformats.org/officeDocument/2006/relationships/hyperlink" Target="http://ite.informatique.inetpsa.com/?id=1681" TargetMode="External"/><Relationship Id="rId43" Type="http://schemas.openxmlformats.org/officeDocument/2006/relationships/hyperlink" Target="https://docinfogroupe.stellantis.com/ead/doc/ref.20596_19_00102/v.dp/pj" TargetMode="External"/><Relationship Id="rId48" Type="http://schemas.openxmlformats.org/officeDocument/2006/relationships/hyperlink" Target="https://docinfogroupe.stellantis.com/ead/doc/ref.20596_19_00153/v.dp/pj" TargetMode="External"/><Relationship Id="rId64" Type="http://schemas.openxmlformats.org/officeDocument/2006/relationships/hyperlink" Target="http://ite.informatique.inetpsa.com/?id=1718" TargetMode="External"/><Relationship Id="rId69" Type="http://schemas.openxmlformats.org/officeDocument/2006/relationships/hyperlink" Target="https://docinfogroupe.stellantis.com/ead/doc/ref.20596_19_00173/v.dp/pj" TargetMode="External"/><Relationship Id="rId113" Type="http://schemas.openxmlformats.org/officeDocument/2006/relationships/hyperlink" Target="https://docinfogroupe.stellantis.com/ead/doc/ref.20596_20_00150/v.dp/pj" TargetMode="External"/><Relationship Id="rId118" Type="http://schemas.openxmlformats.org/officeDocument/2006/relationships/hyperlink" Target="https://docinfogroupe.stellantis.com/ead/doc/ref.20596_21_00330/v.dp/pj" TargetMode="External"/><Relationship Id="rId134" Type="http://schemas.openxmlformats.org/officeDocument/2006/relationships/hyperlink" Target="https://docinfogroupe.stellantis.com/ead/doc/ref.20596_23_00013/v.dp/pj" TargetMode="External"/><Relationship Id="rId139" Type="http://schemas.openxmlformats.org/officeDocument/2006/relationships/printerSettings" Target="../printerSettings/printerSettings3.bin"/><Relationship Id="rId8" Type="http://schemas.openxmlformats.org/officeDocument/2006/relationships/hyperlink" Target="http://ite.informatique.inetpsa.com/?id=1660" TargetMode="External"/><Relationship Id="rId51" Type="http://schemas.openxmlformats.org/officeDocument/2006/relationships/hyperlink" Target="https://docinfogroupe.stellantis.com/ead/doc/ref.20596_19_00156/v.dp/pj" TargetMode="External"/><Relationship Id="rId72" Type="http://schemas.openxmlformats.org/officeDocument/2006/relationships/hyperlink" Target="https://docinfogroupe.stellantis.com/ead/doc/ref.20596_19_00176/v.dp/pj" TargetMode="External"/><Relationship Id="rId80" Type="http://schemas.openxmlformats.org/officeDocument/2006/relationships/hyperlink" Target="https://docinfogroupe.stellantis.com/ead/doc/ref.20596_19_00185/v.dp/pj" TargetMode="External"/><Relationship Id="rId85" Type="http://schemas.openxmlformats.org/officeDocument/2006/relationships/hyperlink" Target="https://docinfogroupe.stellantis.com/ead/doc/ref.20596_19_00109/v.dp/pj" TargetMode="External"/><Relationship Id="rId93" Type="http://schemas.openxmlformats.org/officeDocument/2006/relationships/hyperlink" Target="https://docinfogroupe.stellantis.com/ead/doc/ref.20596_19_00120/v.dp/pj" TargetMode="External"/><Relationship Id="rId98" Type="http://schemas.openxmlformats.org/officeDocument/2006/relationships/hyperlink" Target="https://docinfogroupe.stellantis.com/ead/doc/ref.20596_19_00103/v.dp/pj" TargetMode="External"/><Relationship Id="rId121" Type="http://schemas.openxmlformats.org/officeDocument/2006/relationships/hyperlink" Target="https://docinfogroupe.stellantis.com/ead/doc/ref.20596_21_00338/v.dp/pj" TargetMode="External"/><Relationship Id="rId3" Type="http://schemas.openxmlformats.org/officeDocument/2006/relationships/hyperlink" Target="http://ite.informatique.inetpsa.com/?id=1661" TargetMode="External"/><Relationship Id="rId12" Type="http://schemas.openxmlformats.org/officeDocument/2006/relationships/hyperlink" Target="http://ite.informatique.inetpsa.com/?id=1664" TargetMode="External"/><Relationship Id="rId17" Type="http://schemas.openxmlformats.org/officeDocument/2006/relationships/hyperlink" Target="https://docinfogroupe.stellantis.com/ead/doc/ref.20596_19_00122/v.dp/pj" TargetMode="External"/><Relationship Id="rId25" Type="http://schemas.openxmlformats.org/officeDocument/2006/relationships/hyperlink" Target="https://docinfogroupe.stellantis.com/ead/doc/ref.20596_19_00130/v.dp/pj" TargetMode="External"/><Relationship Id="rId33" Type="http://schemas.openxmlformats.org/officeDocument/2006/relationships/hyperlink" Target="https://docinfogroupe.stellantis.com/ead/doc/ref.20596_19_00137/v.dp/pj" TargetMode="External"/><Relationship Id="rId38" Type="http://schemas.openxmlformats.org/officeDocument/2006/relationships/hyperlink" Target="https://docinfogroupe.stellantis.com/ead/doc/ref.20596_19_00142/v.dp/pj" TargetMode="External"/><Relationship Id="rId46" Type="http://schemas.openxmlformats.org/officeDocument/2006/relationships/hyperlink" Target="https://docinfogroupe.stellantis.com/ead/doc/ref.20596_19_00151/v.dp/pj" TargetMode="External"/><Relationship Id="rId59" Type="http://schemas.openxmlformats.org/officeDocument/2006/relationships/hyperlink" Target="https://docinfogroupe.stellantis.com/ead/doc/ref.20596_19_00164/v.dp/pj" TargetMode="External"/><Relationship Id="rId67" Type="http://schemas.openxmlformats.org/officeDocument/2006/relationships/hyperlink" Target="https://docinfogroupe.stellantis.com/ead/doc/ref.20596_19_00171/v.dp/pj" TargetMode="External"/><Relationship Id="rId103" Type="http://schemas.openxmlformats.org/officeDocument/2006/relationships/hyperlink" Target="https://docinfogroupe.stellantis.com/ead/doc/ref.20596_20_00018/v.dp/pj" TargetMode="External"/><Relationship Id="rId108" Type="http://schemas.openxmlformats.org/officeDocument/2006/relationships/hyperlink" Target="https://docinfogroupe.stellantis.com/ead/doc/ref.20596_20_00422/v.dp/pj" TargetMode="External"/><Relationship Id="rId116" Type="http://schemas.openxmlformats.org/officeDocument/2006/relationships/hyperlink" Target="https://docinfogroupe.stellantis.com/ead/doc/ref.20596_19_00180/v.dp/pj" TargetMode="External"/><Relationship Id="rId124" Type="http://schemas.openxmlformats.org/officeDocument/2006/relationships/hyperlink" Target="https://docinfogroupe.psa-peugeot-citroen.com/ead/doc/ref.20596_19_00178/v.dp/pj" TargetMode="External"/><Relationship Id="rId129" Type="http://schemas.openxmlformats.org/officeDocument/2006/relationships/hyperlink" Target="https://docinfogroupe.stellantis.com/ead/doc/ref.20596_21_00364/v.dp/pj" TargetMode="External"/><Relationship Id="rId137" Type="http://schemas.openxmlformats.org/officeDocument/2006/relationships/hyperlink" Target="https://docinfogroupe.stellantis.com/ead/doc/ref.20596_23_00016/v.dp/pj" TargetMode="External"/><Relationship Id="rId20" Type="http://schemas.openxmlformats.org/officeDocument/2006/relationships/hyperlink" Target="https://docinfogroupe.stellantis.com/ead/doc/ref.20596_19_00125/v.dp/pj" TargetMode="External"/><Relationship Id="rId41" Type="http://schemas.openxmlformats.org/officeDocument/2006/relationships/hyperlink" Target="https://docinfogroupe.stellantis.com/ead/doc/ref.20596_19_00145/v.dp/pj" TargetMode="External"/><Relationship Id="rId54" Type="http://schemas.openxmlformats.org/officeDocument/2006/relationships/hyperlink" Target="https://docinfogroupe.stellantis.com/ead/doc/ref.20596_19_00159/v.dp/pj" TargetMode="External"/><Relationship Id="rId62" Type="http://schemas.openxmlformats.org/officeDocument/2006/relationships/hyperlink" Target="https://docinfogroupe.stellantis.com/ead/doc/ref.20596_19_00167/v.dp/pj" TargetMode="External"/><Relationship Id="rId70" Type="http://schemas.openxmlformats.org/officeDocument/2006/relationships/hyperlink" Target="https://docinfogroupe.stellantis.com/ead/doc/ref.20596_19_00174/v.dp/pj" TargetMode="External"/><Relationship Id="rId75" Type="http://schemas.openxmlformats.org/officeDocument/2006/relationships/hyperlink" Target="https://docinfogroupe.stellantis.com/ead/doc/ref.20596_19_00179/v.dp/pj" TargetMode="External"/><Relationship Id="rId83" Type="http://schemas.openxmlformats.org/officeDocument/2006/relationships/hyperlink" Target="https://docinfogroupe.stellantis.com/ead/doc/ref.20596_19_00098/v.dp/pj" TargetMode="External"/><Relationship Id="rId88" Type="http://schemas.openxmlformats.org/officeDocument/2006/relationships/hyperlink" Target="https://docinfogroupe.stellantis.com/ead/doc/ref.20596_19_00114/v.dp/pj" TargetMode="External"/><Relationship Id="rId91" Type="http://schemas.openxmlformats.org/officeDocument/2006/relationships/hyperlink" Target="https://docinfogroupe.stellantis.com/ead/doc/ref.20596_19_00132/v.dp/pj" TargetMode="External"/><Relationship Id="rId96" Type="http://schemas.openxmlformats.org/officeDocument/2006/relationships/hyperlink" Target="https://docinfogroupe.stellantis.com/ead/doc/ref.20596_19_00100/v.dp/pj" TargetMode="External"/><Relationship Id="rId111" Type="http://schemas.openxmlformats.org/officeDocument/2006/relationships/hyperlink" Target="https://docinfogroupe.stellantis.com/ead/doc/ref.20596_20_00425/v.dp/pj" TargetMode="External"/><Relationship Id="rId132" Type="http://schemas.openxmlformats.org/officeDocument/2006/relationships/hyperlink" Target="https://docinfogroupe.stellantis.com/ead/doc/ref.20596_21_00365/v.dp/pj" TargetMode="External"/><Relationship Id="rId140" Type="http://schemas.openxmlformats.org/officeDocument/2006/relationships/vmlDrawing" Target="../drawings/vmlDrawing2.vml"/><Relationship Id="rId1" Type="http://schemas.openxmlformats.org/officeDocument/2006/relationships/hyperlink" Target="http://ite.informatique.inetpsa.com/?id=1659" TargetMode="External"/><Relationship Id="rId6" Type="http://schemas.openxmlformats.org/officeDocument/2006/relationships/hyperlink" Target="http://ite.informatique.inetpsa.com/?id=1664" TargetMode="External"/><Relationship Id="rId15" Type="http://schemas.openxmlformats.org/officeDocument/2006/relationships/hyperlink" Target="https://docinfogroupe.stellantis.com/ead/doc/ref.20596_19_00117/v.dp/pj" TargetMode="External"/><Relationship Id="rId23" Type="http://schemas.openxmlformats.org/officeDocument/2006/relationships/hyperlink" Target="http://ite.informatique.inetpsa.com/?id=1675" TargetMode="External"/><Relationship Id="rId28" Type="http://schemas.openxmlformats.org/officeDocument/2006/relationships/hyperlink" Target="http://ite.informatique.inetpsa.com/?id=1681" TargetMode="External"/><Relationship Id="rId36" Type="http://schemas.openxmlformats.org/officeDocument/2006/relationships/hyperlink" Target="https://docinfogroupe.stellantis.com/ead/doc/ref.20596_19_00140/v.dp/pj" TargetMode="External"/><Relationship Id="rId49" Type="http://schemas.openxmlformats.org/officeDocument/2006/relationships/hyperlink" Target="https://docinfogroupe.stellantis.com/ead/doc/ref.20596_19_00154/v.dp/pj" TargetMode="External"/><Relationship Id="rId57" Type="http://schemas.openxmlformats.org/officeDocument/2006/relationships/hyperlink" Target="https://docinfogroupe.stellantis.com/ead/doc/ref.20596_19_00162/v.dp/pj" TargetMode="External"/><Relationship Id="rId106" Type="http://schemas.openxmlformats.org/officeDocument/2006/relationships/hyperlink" Target="https://docinfogroupe.stellantis.com/ead/doc/ref.20596_19_00096/v.dp/pj" TargetMode="External"/><Relationship Id="rId114" Type="http://schemas.openxmlformats.org/officeDocument/2006/relationships/hyperlink" Target="https://docinfogroupe.psa-peugeot-citroen.com/ead/doc/ref.20596_19_00180/v.dp/pj" TargetMode="External"/><Relationship Id="rId119" Type="http://schemas.openxmlformats.org/officeDocument/2006/relationships/hyperlink" Target="https://docinfogroupe.stellantis.com/ead/doc/ref.20596_21_00335/v.dp/pj" TargetMode="External"/><Relationship Id="rId127" Type="http://schemas.openxmlformats.org/officeDocument/2006/relationships/hyperlink" Target="https://docinfogroupe.stellantis.com/ead/doc/ref.20596_19_00178/v.dp/pj" TargetMode="External"/><Relationship Id="rId10" Type="http://schemas.openxmlformats.org/officeDocument/2006/relationships/hyperlink" Target="http://ite.informatique.inetpsa.com/?id=1662" TargetMode="External"/><Relationship Id="rId31" Type="http://schemas.openxmlformats.org/officeDocument/2006/relationships/hyperlink" Target="https://docinfogroupe.stellantis.com/ead/doc/ref.20596_19_00135/v.dp/pj" TargetMode="External"/><Relationship Id="rId44" Type="http://schemas.openxmlformats.org/officeDocument/2006/relationships/hyperlink" Target="https://docinfogroupe.stellantis.comead/doc/ref.20596_19_00147/v.dp/pj" TargetMode="External"/><Relationship Id="rId52" Type="http://schemas.openxmlformats.org/officeDocument/2006/relationships/hyperlink" Target="https://docinfogroupe.stellantis.com/ead/doc/ref.20596_19_00157/v.dp/pj" TargetMode="External"/><Relationship Id="rId60" Type="http://schemas.openxmlformats.org/officeDocument/2006/relationships/hyperlink" Target="https://docinfogroupe.stellantis.com/ead/doc/ref.20596_19_00165/v.dp/pj" TargetMode="External"/><Relationship Id="rId65" Type="http://schemas.openxmlformats.org/officeDocument/2006/relationships/hyperlink" Target="http://ite.informatique.inetpsa.com/?id=1719" TargetMode="External"/><Relationship Id="rId73" Type="http://schemas.openxmlformats.org/officeDocument/2006/relationships/hyperlink" Target="https://docinfogroupe.stellantis.com/ead/doc/ref.20596_19_00177/v.dp/pj" TargetMode="External"/><Relationship Id="rId78" Type="http://schemas.openxmlformats.org/officeDocument/2006/relationships/hyperlink" Target="https://docinfogroupe.stellantis.com/ead/doc/ref.20596_19_00182/v.dp/pj" TargetMode="External"/><Relationship Id="rId81" Type="http://schemas.openxmlformats.org/officeDocument/2006/relationships/hyperlink" Target="https://docinfogroupe.stellantis.com/ead/doc/ref.20596_19_00186/v.dp/pj" TargetMode="External"/><Relationship Id="rId86" Type="http://schemas.openxmlformats.org/officeDocument/2006/relationships/hyperlink" Target="https://docinfogroupe.stellantis.com/ead/doc/ref.20596_19_00111/v.dp/pj" TargetMode="External"/><Relationship Id="rId94" Type="http://schemas.openxmlformats.org/officeDocument/2006/relationships/hyperlink" Target="https://docinfogroupe.stellantis.com/ead/doc/ref.20596_19_00118/v.dp/pj" TargetMode="External"/><Relationship Id="rId99" Type="http://schemas.openxmlformats.org/officeDocument/2006/relationships/hyperlink" Target="https://docinfogroupe.stellantis.com/ead/doc/ref.20596_19_00105/v.dp/pj" TargetMode="External"/><Relationship Id="rId101" Type="http://schemas.openxmlformats.org/officeDocument/2006/relationships/hyperlink" Target="https://docinfogroupe.stellantis.com/ead/doc/ref.20596_19_00129/v.dp/pj" TargetMode="External"/><Relationship Id="rId122" Type="http://schemas.openxmlformats.org/officeDocument/2006/relationships/hyperlink" Target="https://docinfogroupe.stellantis.com/ead/doc/ref.20596_21_00339/v.dp/pj" TargetMode="External"/><Relationship Id="rId130" Type="http://schemas.openxmlformats.org/officeDocument/2006/relationships/hyperlink" Target="https://docinfogroupe.stellantis.com/ead/doc/ref.20596_21_00365/v.dp/pj" TargetMode="External"/><Relationship Id="rId135" Type="http://schemas.openxmlformats.org/officeDocument/2006/relationships/hyperlink" Target="https://docinfogroupe.stellantis.com/ead/doc/ref.20596_23_00014/v.dp/pj" TargetMode="External"/><Relationship Id="rId4" Type="http://schemas.openxmlformats.org/officeDocument/2006/relationships/hyperlink" Target="http://ite.informatique.inetpsa.com/?id=1662" TargetMode="External"/><Relationship Id="rId9" Type="http://schemas.openxmlformats.org/officeDocument/2006/relationships/hyperlink" Target="http://ite.informatique.inetpsa.com/?id=1661" TargetMode="External"/><Relationship Id="rId13" Type="http://schemas.openxmlformats.org/officeDocument/2006/relationships/hyperlink" Target="https://docinfogroupe.stellantis.com/ead/doc/ref.20596_19_00115/v.dp/pj" TargetMode="External"/><Relationship Id="rId18" Type="http://schemas.openxmlformats.org/officeDocument/2006/relationships/hyperlink" Target="https://docinfogroupe.stellantis.com/ead/doc/ref.20596_19_00123/v.dp/pj" TargetMode="External"/><Relationship Id="rId39" Type="http://schemas.openxmlformats.org/officeDocument/2006/relationships/hyperlink" Target="https://docinfogroupe.stellantis.com/ead/doc/ref.20596_19_00143/v.dp/pj" TargetMode="External"/><Relationship Id="rId109" Type="http://schemas.openxmlformats.org/officeDocument/2006/relationships/hyperlink" Target="https://docinfogroupe.stellantis.com/ead/doc/ref.20596_20_00423/v.dp/pj" TargetMode="External"/><Relationship Id="rId34" Type="http://schemas.openxmlformats.org/officeDocument/2006/relationships/hyperlink" Target="https://docinfogroupe.stellantis.com/ead/doc/ref.20596_19_00138/v.dp/pj" TargetMode="External"/><Relationship Id="rId50" Type="http://schemas.openxmlformats.org/officeDocument/2006/relationships/hyperlink" Target="https://docinfogroupe.stellantis.com/ead/doc/ref.20596_19_00155/v.dp/pj" TargetMode="External"/><Relationship Id="rId55" Type="http://schemas.openxmlformats.org/officeDocument/2006/relationships/hyperlink" Target="https://docinfogroupe.stellantis.com/ead/doc/ref.20596_19_00160/v.dp/pj" TargetMode="External"/><Relationship Id="rId76" Type="http://schemas.openxmlformats.org/officeDocument/2006/relationships/hyperlink" Target="https://docinfogroupe.psa-peugeot-citroen.com/ead/doc/ref.20596_19_00180/v.dp/pj" TargetMode="External"/><Relationship Id="rId97" Type="http://schemas.openxmlformats.org/officeDocument/2006/relationships/hyperlink" Target="https://docinfogroupe.stellantis.com/ead/doc/ref.20596_19_00101/v.dp/pj" TargetMode="External"/><Relationship Id="rId104" Type="http://schemas.openxmlformats.org/officeDocument/2006/relationships/hyperlink" Target="https://docinfogroupe.stellantis.com/ead/doc/ref.20596_20_00364/v.dp/pj" TargetMode="External"/><Relationship Id="rId120" Type="http://schemas.openxmlformats.org/officeDocument/2006/relationships/hyperlink" Target="https://docinfogroupe.stellantis.com/ead/doc/ref.20596_21_00336/v.dp/pj" TargetMode="External"/><Relationship Id="rId125" Type="http://schemas.openxmlformats.org/officeDocument/2006/relationships/hyperlink" Target="https://docinfogroupe.stellantis.com/ead/doc/ref.20596_21_00344/v.dp/pj" TargetMode="External"/><Relationship Id="rId141" Type="http://schemas.openxmlformats.org/officeDocument/2006/relationships/comments" Target="../comments1.xml"/><Relationship Id="rId7" Type="http://schemas.openxmlformats.org/officeDocument/2006/relationships/hyperlink" Target="http://ite.informatique.inetpsa.com/?id=1659" TargetMode="External"/><Relationship Id="rId71" Type="http://schemas.openxmlformats.org/officeDocument/2006/relationships/hyperlink" Target="https://docinfogroupe.stellantis.com/ead/doc/ref.20596_19_00175/v.dp/pj" TargetMode="External"/><Relationship Id="rId92" Type="http://schemas.openxmlformats.org/officeDocument/2006/relationships/hyperlink" Target="https://docinfogroupe.stellantis.com/ead/doc/ref.20596_19_00169/v.dp/pj" TargetMode="External"/><Relationship Id="rId2" Type="http://schemas.openxmlformats.org/officeDocument/2006/relationships/hyperlink" Target="http://ite.informatique.inetpsa.com/?id=1660" TargetMode="External"/><Relationship Id="rId29" Type="http://schemas.openxmlformats.org/officeDocument/2006/relationships/hyperlink" Target="https://docinfogroupe.stellantis.com/ead/doc/ref.20596_19_00133/v.dp/pj" TargetMode="External"/><Relationship Id="rId24" Type="http://schemas.openxmlformats.org/officeDocument/2006/relationships/hyperlink" Target="https://docinfogroupe.stellantis.com/ead/doc/ref.20596_19_00128/v.dp/pj" TargetMode="External"/><Relationship Id="rId40" Type="http://schemas.openxmlformats.org/officeDocument/2006/relationships/hyperlink" Target="https://docinfogroupe.stellantis.com/ead/doc/ref.20596_19_00144/v.dp/pj" TargetMode="External"/><Relationship Id="rId45" Type="http://schemas.openxmlformats.org/officeDocument/2006/relationships/hyperlink" Target="https://docinfogroupe.stellantis.com/ead/doc/ref.20596_19_00148/v.dp/pj" TargetMode="External"/><Relationship Id="rId66" Type="http://schemas.openxmlformats.org/officeDocument/2006/relationships/hyperlink" Target="https://docinfogroupe.stellantis.com/ead/doc/ref.20596_19_00170/v.dp/pj" TargetMode="External"/><Relationship Id="rId87" Type="http://schemas.openxmlformats.org/officeDocument/2006/relationships/hyperlink" Target="https://docinfogroupe.stellantis.com/ead/doc/ref.20596_19_00113/v.dp/pj" TargetMode="External"/><Relationship Id="rId110" Type="http://schemas.openxmlformats.org/officeDocument/2006/relationships/hyperlink" Target="https://docinfogroupe.stellantis.com/ead/doc/ref.20596_20_00424/v.dp/pj" TargetMode="External"/><Relationship Id="rId115" Type="http://schemas.openxmlformats.org/officeDocument/2006/relationships/hyperlink" Target="https://docinfogroupe.psa-peugeot-citroen.com/ead/doc/ref.20596_19_00180/v.dp/pj" TargetMode="External"/><Relationship Id="rId131" Type="http://schemas.openxmlformats.org/officeDocument/2006/relationships/hyperlink" Target="https://docinfogroupe.stellantis.com/ead/doc/ref.20596_19_00147/v.dp/pj" TargetMode="External"/><Relationship Id="rId136" Type="http://schemas.openxmlformats.org/officeDocument/2006/relationships/hyperlink" Target="https://docinfogroupe.stellantis.com/ead/doc/ref.20596_23_00015/v.dp/pj" TargetMode="External"/><Relationship Id="rId61" Type="http://schemas.openxmlformats.org/officeDocument/2006/relationships/hyperlink" Target="https://docinfogroupe.stellantis.com/ead/doc/ref.20596_19_00166/v.dp/pj" TargetMode="External"/><Relationship Id="rId82" Type="http://schemas.openxmlformats.org/officeDocument/2006/relationships/hyperlink" Target="https://docinfogroupe.stellantis.com/ead/doc/ref.20596_19_00187/v.dp/pj" TargetMode="External"/><Relationship Id="rId19" Type="http://schemas.openxmlformats.org/officeDocument/2006/relationships/hyperlink" Target="https://docinfogroupe.stellantis.com/ead/doc/ref.20596_19_00124/v.dp/pj" TargetMode="External"/><Relationship Id="rId14" Type="http://schemas.openxmlformats.org/officeDocument/2006/relationships/hyperlink" Target="https://docinfogroupe.stellantis.com/ead/doc/ref.20596_19_00116/v.dp/pj" TargetMode="External"/><Relationship Id="rId30" Type="http://schemas.openxmlformats.org/officeDocument/2006/relationships/hyperlink" Target="https://docinfogroupe.stellantis.com/ead/doc/ref.20596_19_00134/v.dp/pj" TargetMode="External"/><Relationship Id="rId35" Type="http://schemas.openxmlformats.org/officeDocument/2006/relationships/hyperlink" Target="https://docinfogroupe.stellantis.com/ead/doc/ref.20596_19_00139/v.dp/pj" TargetMode="External"/><Relationship Id="rId56" Type="http://schemas.openxmlformats.org/officeDocument/2006/relationships/hyperlink" Target="https://docinfogroupe.stellantis.com/ead/doc/ref.20596_19_00161/v.dp/pj" TargetMode="External"/><Relationship Id="rId77" Type="http://schemas.openxmlformats.org/officeDocument/2006/relationships/hyperlink" Target="https://docinfogroupe.stellantis.com/ead/doc/ref.20596_19_00181/v.dp/pj" TargetMode="External"/><Relationship Id="rId100" Type="http://schemas.openxmlformats.org/officeDocument/2006/relationships/hyperlink" Target="https://docinfogroupe.stellantis.com/ead/doc/ref.20596_19_00107/v.dp/pj" TargetMode="External"/><Relationship Id="rId105" Type="http://schemas.openxmlformats.org/officeDocument/2006/relationships/hyperlink" Target="https://docinfogroupe.psa-peugeot-citroen.com/ead/doc/ref.20596_19_00096/v.dp/pj" TargetMode="External"/><Relationship Id="rId126" Type="http://schemas.openxmlformats.org/officeDocument/2006/relationships/hyperlink" Target="https://docinfogroupe.stellantis.com/ead/doc/ref.20596_19_00167/v.dp/pj"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AR130"/>
  <sheetViews>
    <sheetView tabSelected="1" workbookViewId="0">
      <selection activeCell="B3" sqref="B3:Q3"/>
    </sheetView>
  </sheetViews>
  <sheetFormatPr defaultColWidth="11.42578125" defaultRowHeight="15" x14ac:dyDescent="0.25"/>
  <cols>
    <col min="1" max="1" width="2.85546875" customWidth="1"/>
    <col min="2" max="2" width="11.42578125" customWidth="1"/>
  </cols>
  <sheetData>
    <row r="1" spans="1:44" s="9" customForma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row>
    <row r="2" spans="1:44" s="9" customFormat="1" x14ac:dyDescent="0.25">
      <c r="A2" s="1"/>
      <c r="B2" s="55" t="s">
        <v>843</v>
      </c>
      <c r="C2" s="55"/>
      <c r="D2" s="55"/>
      <c r="E2" s="55"/>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3" spans="1:44" s="9" customFormat="1" ht="31.5" x14ac:dyDescent="0.25">
      <c r="A3" s="1"/>
      <c r="B3" s="274" t="s">
        <v>686</v>
      </c>
      <c r="C3" s="274"/>
      <c r="D3" s="274"/>
      <c r="E3" s="274"/>
      <c r="F3" s="274"/>
      <c r="G3" s="274"/>
      <c r="H3" s="274"/>
      <c r="I3" s="274"/>
      <c r="J3" s="274"/>
      <c r="K3" s="274"/>
      <c r="L3" s="274"/>
      <c r="M3" s="274"/>
      <c r="N3" s="274"/>
      <c r="O3" s="274"/>
      <c r="P3" s="274"/>
      <c r="Q3" s="274"/>
      <c r="R3" s="1"/>
      <c r="S3" s="1"/>
      <c r="T3" s="1"/>
      <c r="U3" s="1"/>
      <c r="V3" s="1"/>
      <c r="W3" s="1"/>
      <c r="X3" s="1"/>
      <c r="Y3" s="1"/>
      <c r="Z3" s="1"/>
      <c r="AA3" s="1"/>
      <c r="AB3" s="1"/>
      <c r="AC3" s="1"/>
      <c r="AD3" s="1"/>
      <c r="AE3" s="1"/>
      <c r="AF3" s="1"/>
      <c r="AG3" s="1"/>
      <c r="AH3" s="1"/>
      <c r="AI3" s="1"/>
      <c r="AJ3" s="1"/>
      <c r="AK3" s="1"/>
      <c r="AL3" s="1"/>
      <c r="AM3" s="1"/>
      <c r="AN3" s="1"/>
      <c r="AO3" s="1"/>
      <c r="AP3" s="1"/>
      <c r="AQ3" s="1"/>
      <c r="AR3" s="1"/>
    </row>
    <row r="4" spans="1:44" ht="26.25" x14ac:dyDescent="0.4">
      <c r="A4" s="1"/>
      <c r="B4" s="56" t="s">
        <v>262</v>
      </c>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row>
    <row r="5" spans="1:44" ht="138.75" customHeight="1" x14ac:dyDescent="0.25">
      <c r="A5" s="1"/>
      <c r="B5" s="262" t="s">
        <v>638</v>
      </c>
      <c r="C5" s="262"/>
      <c r="D5" s="262"/>
      <c r="E5" s="262"/>
      <c r="F5" s="262"/>
      <c r="G5" s="262"/>
      <c r="H5" s="262"/>
      <c r="I5" s="262"/>
      <c r="J5" s="262"/>
      <c r="K5" s="262"/>
      <c r="L5" s="262"/>
      <c r="M5" s="262"/>
      <c r="N5" s="262"/>
      <c r="O5" s="262"/>
      <c r="P5" s="262"/>
      <c r="Q5" s="262"/>
      <c r="R5" s="1"/>
      <c r="S5" s="1"/>
      <c r="T5" s="1"/>
      <c r="U5" s="1"/>
      <c r="V5" s="1"/>
      <c r="W5" s="1"/>
      <c r="X5" s="1"/>
      <c r="Y5" s="1"/>
      <c r="Z5" s="1"/>
      <c r="AA5" s="1"/>
      <c r="AB5" s="1"/>
      <c r="AC5" s="1"/>
      <c r="AD5" s="1"/>
      <c r="AE5" s="1"/>
      <c r="AF5" s="1"/>
      <c r="AG5" s="1"/>
      <c r="AH5" s="1"/>
      <c r="AI5" s="1"/>
      <c r="AJ5" s="1"/>
      <c r="AK5" s="1"/>
      <c r="AL5" s="1"/>
      <c r="AM5" s="1"/>
      <c r="AN5" s="1"/>
      <c r="AO5" s="1"/>
      <c r="AP5" s="1"/>
      <c r="AQ5" s="1"/>
      <c r="AR5" s="1"/>
    </row>
    <row r="6" spans="1:44" s="28" customFormat="1" ht="33" customHeight="1" x14ac:dyDescent="0.25">
      <c r="A6" s="55"/>
      <c r="B6" s="275" t="s">
        <v>530</v>
      </c>
      <c r="C6" s="275"/>
      <c r="D6" s="275"/>
      <c r="E6" s="275"/>
      <c r="F6" s="275"/>
      <c r="G6" s="275"/>
      <c r="H6" s="275"/>
      <c r="I6" s="275"/>
      <c r="J6" s="275"/>
      <c r="K6" s="27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c r="AM6" s="55"/>
      <c r="AN6" s="55"/>
      <c r="AO6" s="55"/>
      <c r="AP6" s="55"/>
      <c r="AQ6" s="55"/>
      <c r="AR6" s="55"/>
    </row>
    <row r="7" spans="1:44" ht="26.25" x14ac:dyDescent="0.4">
      <c r="A7" s="1"/>
      <c r="B7" s="56" t="s">
        <v>204</v>
      </c>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row>
    <row r="8" spans="1:44" x14ac:dyDescent="0.25">
      <c r="A8" s="1"/>
      <c r="B8" s="1" t="s">
        <v>704</v>
      </c>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row>
    <row r="9" spans="1:44" x14ac:dyDescent="0.25">
      <c r="A9" s="1"/>
      <c r="B9" s="1"/>
      <c r="C9" s="1" t="s">
        <v>609</v>
      </c>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row>
    <row r="10" spans="1:44" x14ac:dyDescent="0.25">
      <c r="A10" s="1"/>
      <c r="B10" s="1"/>
      <c r="C10" s="1" t="s">
        <v>705</v>
      </c>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row>
    <row r="11" spans="1:44" x14ac:dyDescent="0.25">
      <c r="A11" s="1"/>
      <c r="B11" s="1"/>
      <c r="C11" s="1" t="s">
        <v>681</v>
      </c>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row>
    <row r="12" spans="1:44"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row>
    <row r="13" spans="1:44" ht="26.25" x14ac:dyDescent="0.4">
      <c r="A13" s="1"/>
      <c r="B13" s="56" t="s">
        <v>677</v>
      </c>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row>
    <row r="14" spans="1:44" x14ac:dyDescent="0.25">
      <c r="A14" s="1"/>
      <c r="B14" s="1" t="s">
        <v>679</v>
      </c>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row>
    <row r="15" spans="1:44" ht="15" customHeight="1" x14ac:dyDescent="0.3">
      <c r="A15" s="1"/>
      <c r="B15" s="1" t="s">
        <v>680</v>
      </c>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row>
    <row r="16" spans="1:44" x14ac:dyDescent="0.25">
      <c r="A16" s="1"/>
      <c r="B16" s="1" t="s">
        <v>678</v>
      </c>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row>
    <row r="17" spans="1:44"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row>
    <row r="18" spans="1:44" ht="15" customHeight="1" x14ac:dyDescent="0.25">
      <c r="A18" s="1"/>
      <c r="B18" s="57" t="s">
        <v>266</v>
      </c>
      <c r="C18" s="58"/>
      <c r="D18" s="58"/>
      <c r="E18" s="58"/>
      <c r="F18" s="58"/>
      <c r="G18" s="58"/>
      <c r="H18" s="58"/>
      <c r="I18" s="58"/>
      <c r="J18" s="58"/>
      <c r="K18" s="58"/>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row>
    <row r="19" spans="1:44" s="32" customFormat="1" ht="19.5" customHeight="1" x14ac:dyDescent="0.25">
      <c r="A19" s="59"/>
      <c r="B19" s="59" t="s">
        <v>267</v>
      </c>
      <c r="C19" s="59"/>
      <c r="D19" s="59"/>
      <c r="E19" s="59"/>
      <c r="F19" s="59"/>
      <c r="G19" s="59"/>
      <c r="H19" s="59"/>
      <c r="I19" s="59"/>
      <c r="J19" s="59"/>
      <c r="K19" s="59"/>
      <c r="L19" s="59"/>
      <c r="M19" s="59"/>
      <c r="N19" s="59"/>
      <c r="O19" s="59"/>
      <c r="P19" s="59"/>
      <c r="Q19" s="59"/>
      <c r="R19" s="59"/>
      <c r="S19" s="59"/>
      <c r="T19" s="59"/>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row>
    <row r="20" spans="1:44" ht="18.75" customHeight="1" x14ac:dyDescent="0.25">
      <c r="A20" s="1"/>
      <c r="B20" s="271" t="s">
        <v>264</v>
      </c>
      <c r="C20" s="271"/>
      <c r="D20" s="271"/>
      <c r="E20" s="271"/>
      <c r="F20" s="269" t="s">
        <v>265</v>
      </c>
      <c r="G20" s="269"/>
      <c r="H20" s="269"/>
      <c r="I20" s="269"/>
      <c r="J20" s="269"/>
      <c r="K20" s="269"/>
      <c r="L20" s="269"/>
      <c r="M20" s="269"/>
      <c r="N20" s="269"/>
      <c r="O20" s="269"/>
      <c r="P20" s="269"/>
      <c r="Q20" s="269"/>
      <c r="R20" s="2"/>
      <c r="S20" s="2"/>
      <c r="T20" s="2"/>
      <c r="U20" s="2"/>
      <c r="V20" s="2"/>
      <c r="W20" s="2"/>
      <c r="X20" s="1"/>
      <c r="Y20" s="1"/>
      <c r="Z20" s="1"/>
      <c r="AA20" s="1"/>
      <c r="AB20" s="1"/>
      <c r="AC20" s="1"/>
      <c r="AD20" s="1"/>
      <c r="AE20" s="1"/>
      <c r="AF20" s="1"/>
      <c r="AG20" s="1"/>
      <c r="AH20" s="1"/>
      <c r="AI20" s="1"/>
      <c r="AJ20" s="1"/>
      <c r="AK20" s="1"/>
      <c r="AL20" s="1"/>
      <c r="AM20" s="1"/>
      <c r="AN20" s="1"/>
      <c r="AO20" s="1"/>
      <c r="AP20" s="1"/>
      <c r="AQ20" s="1"/>
      <c r="AR20" s="1"/>
    </row>
    <row r="21" spans="1:44" ht="18.75" customHeight="1" x14ac:dyDescent="0.25">
      <c r="A21" s="1"/>
      <c r="B21" s="276" t="s">
        <v>8</v>
      </c>
      <c r="C21" s="276"/>
      <c r="D21" s="276"/>
      <c r="E21" s="276"/>
      <c r="F21" s="256" t="s">
        <v>270</v>
      </c>
      <c r="G21" s="256"/>
      <c r="H21" s="256"/>
      <c r="I21" s="256"/>
      <c r="J21" s="256"/>
      <c r="K21" s="256"/>
      <c r="L21" s="256"/>
      <c r="M21" s="256"/>
      <c r="N21" s="256"/>
      <c r="O21" s="256"/>
      <c r="P21" s="256"/>
      <c r="Q21" s="256"/>
      <c r="R21" s="2"/>
      <c r="S21" s="2"/>
      <c r="T21" s="2"/>
      <c r="U21" s="2"/>
      <c r="V21" s="2"/>
      <c r="W21" s="2"/>
      <c r="X21" s="1"/>
      <c r="Y21" s="1"/>
      <c r="Z21" s="1"/>
      <c r="AA21" s="1"/>
      <c r="AB21" s="1"/>
      <c r="AC21" s="1"/>
      <c r="AD21" s="1"/>
      <c r="AE21" s="1"/>
      <c r="AF21" s="1"/>
      <c r="AG21" s="1"/>
      <c r="AH21" s="1"/>
      <c r="AI21" s="1"/>
      <c r="AJ21" s="1"/>
      <c r="AK21" s="1"/>
      <c r="AL21" s="1"/>
      <c r="AM21" s="1"/>
      <c r="AN21" s="1"/>
      <c r="AO21" s="1"/>
      <c r="AP21" s="1"/>
      <c r="AQ21" s="1"/>
      <c r="AR21" s="1"/>
    </row>
    <row r="22" spans="1:44" ht="18.75" customHeight="1" x14ac:dyDescent="0.25">
      <c r="A22" s="1"/>
      <c r="B22" s="270" t="s">
        <v>16</v>
      </c>
      <c r="C22" s="270"/>
      <c r="D22" s="270"/>
      <c r="E22" s="270"/>
      <c r="F22" s="256" t="s">
        <v>271</v>
      </c>
      <c r="G22" s="256"/>
      <c r="H22" s="256"/>
      <c r="I22" s="256"/>
      <c r="J22" s="256"/>
      <c r="K22" s="256"/>
      <c r="L22" s="256"/>
      <c r="M22" s="256"/>
      <c r="N22" s="256"/>
      <c r="O22" s="256"/>
      <c r="P22" s="256"/>
      <c r="Q22" s="256"/>
      <c r="R22" s="2"/>
      <c r="S22" s="2"/>
      <c r="T22" s="2"/>
      <c r="U22" s="2"/>
      <c r="V22" s="2"/>
      <c r="W22" s="2"/>
      <c r="X22" s="1"/>
      <c r="Y22" s="1"/>
      <c r="Z22" s="1"/>
      <c r="AA22" s="1"/>
      <c r="AB22" s="1"/>
      <c r="AC22" s="1"/>
      <c r="AD22" s="1"/>
      <c r="AE22" s="1"/>
      <c r="AF22" s="1"/>
      <c r="AG22" s="1"/>
      <c r="AH22" s="1"/>
      <c r="AI22" s="1"/>
      <c r="AJ22" s="1"/>
      <c r="AK22" s="1"/>
      <c r="AL22" s="1"/>
      <c r="AM22" s="1"/>
      <c r="AN22" s="1"/>
      <c r="AO22" s="1"/>
      <c r="AP22" s="1"/>
      <c r="AQ22" s="1"/>
      <c r="AR22" s="1"/>
    </row>
    <row r="23" spans="1:44" ht="18.75" customHeight="1" x14ac:dyDescent="0.25">
      <c r="A23" s="1"/>
      <c r="B23" s="277" t="s">
        <v>52</v>
      </c>
      <c r="C23" s="277"/>
      <c r="D23" s="277"/>
      <c r="E23" s="277"/>
      <c r="F23" s="256" t="s">
        <v>272</v>
      </c>
      <c r="G23" s="256"/>
      <c r="H23" s="256"/>
      <c r="I23" s="256"/>
      <c r="J23" s="256"/>
      <c r="K23" s="256"/>
      <c r="L23" s="256"/>
      <c r="M23" s="256"/>
      <c r="N23" s="256"/>
      <c r="O23" s="256"/>
      <c r="P23" s="256"/>
      <c r="Q23" s="256"/>
      <c r="R23" s="2"/>
      <c r="S23" s="2"/>
      <c r="T23" s="2"/>
      <c r="U23" s="2"/>
      <c r="V23" s="2"/>
      <c r="W23" s="2"/>
      <c r="X23" s="1"/>
      <c r="Y23" s="1"/>
      <c r="Z23" s="1"/>
      <c r="AA23" s="1"/>
      <c r="AB23" s="1"/>
      <c r="AC23" s="1"/>
      <c r="AD23" s="1"/>
      <c r="AE23" s="1"/>
      <c r="AF23" s="1"/>
      <c r="AG23" s="1"/>
      <c r="AH23" s="1"/>
      <c r="AI23" s="1"/>
      <c r="AJ23" s="1"/>
      <c r="AK23" s="1"/>
      <c r="AL23" s="1"/>
      <c r="AM23" s="1"/>
      <c r="AN23" s="1"/>
      <c r="AO23" s="1"/>
      <c r="AP23" s="1"/>
      <c r="AQ23" s="1"/>
      <c r="AR23" s="1"/>
    </row>
    <row r="24" spans="1:44" ht="18.75" customHeight="1" x14ac:dyDescent="0.25">
      <c r="A24" s="1"/>
      <c r="B24" s="272" t="s">
        <v>269</v>
      </c>
      <c r="C24" s="272"/>
      <c r="D24" s="272"/>
      <c r="E24" s="272"/>
      <c r="F24" s="256" t="s">
        <v>273</v>
      </c>
      <c r="G24" s="256"/>
      <c r="H24" s="256"/>
      <c r="I24" s="256"/>
      <c r="J24" s="256"/>
      <c r="K24" s="256"/>
      <c r="L24" s="256"/>
      <c r="M24" s="256"/>
      <c r="N24" s="256"/>
      <c r="O24" s="256"/>
      <c r="P24" s="256"/>
      <c r="Q24" s="256"/>
      <c r="R24" s="2"/>
      <c r="S24" s="2"/>
      <c r="T24" s="2"/>
      <c r="U24" s="2"/>
      <c r="V24" s="2"/>
      <c r="W24" s="2"/>
      <c r="X24" s="1"/>
      <c r="Y24" s="1"/>
      <c r="Z24" s="1"/>
      <c r="AA24" s="1"/>
      <c r="AB24" s="1"/>
      <c r="AC24" s="1"/>
      <c r="AD24" s="1"/>
      <c r="AE24" s="1"/>
      <c r="AF24" s="1"/>
      <c r="AG24" s="1"/>
      <c r="AH24" s="1"/>
      <c r="AI24" s="1"/>
      <c r="AJ24" s="1"/>
      <c r="AK24" s="1"/>
      <c r="AL24" s="1"/>
      <c r="AM24" s="1"/>
      <c r="AN24" s="1"/>
      <c r="AO24" s="1"/>
      <c r="AP24" s="1"/>
      <c r="AQ24" s="1"/>
      <c r="AR24" s="1"/>
    </row>
    <row r="25" spans="1:44" ht="18.75" customHeight="1" x14ac:dyDescent="0.25">
      <c r="A25" s="1"/>
      <c r="B25" s="273" t="s">
        <v>524</v>
      </c>
      <c r="C25" s="273"/>
      <c r="D25" s="273"/>
      <c r="E25" s="273"/>
      <c r="F25" s="256" t="s">
        <v>274</v>
      </c>
      <c r="G25" s="256"/>
      <c r="H25" s="256"/>
      <c r="I25" s="256"/>
      <c r="J25" s="256"/>
      <c r="K25" s="256"/>
      <c r="L25" s="256"/>
      <c r="M25" s="256"/>
      <c r="N25" s="256"/>
      <c r="O25" s="256"/>
      <c r="P25" s="256"/>
      <c r="Q25" s="256"/>
      <c r="R25" s="2"/>
      <c r="S25" s="2"/>
      <c r="T25" s="2"/>
      <c r="U25" s="2"/>
      <c r="V25" s="2"/>
      <c r="W25" s="2"/>
      <c r="X25" s="1"/>
      <c r="Y25" s="1"/>
      <c r="Z25" s="1"/>
      <c r="AA25" s="1"/>
      <c r="AB25" s="1"/>
      <c r="AC25" s="1"/>
      <c r="AD25" s="1"/>
      <c r="AE25" s="1"/>
      <c r="AF25" s="1"/>
      <c r="AG25" s="1"/>
      <c r="AH25" s="1"/>
      <c r="AI25" s="1"/>
      <c r="AJ25" s="1"/>
      <c r="AK25" s="1"/>
      <c r="AL25" s="1"/>
      <c r="AM25" s="1"/>
      <c r="AN25" s="1"/>
      <c r="AO25" s="1"/>
      <c r="AP25" s="1"/>
      <c r="AQ25" s="1"/>
      <c r="AR25" s="1"/>
    </row>
    <row r="26" spans="1:44" ht="18.75" customHeight="1" x14ac:dyDescent="0.25">
      <c r="A26" s="1"/>
      <c r="B26" s="278" t="s">
        <v>187</v>
      </c>
      <c r="C26" s="278"/>
      <c r="D26" s="278"/>
      <c r="E26" s="278"/>
      <c r="F26" s="256" t="s">
        <v>275</v>
      </c>
      <c r="G26" s="256"/>
      <c r="H26" s="256"/>
      <c r="I26" s="256"/>
      <c r="J26" s="256"/>
      <c r="K26" s="256"/>
      <c r="L26" s="256"/>
      <c r="M26" s="256"/>
      <c r="N26" s="256"/>
      <c r="O26" s="256"/>
      <c r="P26" s="256"/>
      <c r="Q26" s="256"/>
      <c r="R26" s="60"/>
      <c r="S26" s="60"/>
      <c r="T26" s="60"/>
      <c r="U26" s="60"/>
      <c r="V26" s="60"/>
      <c r="W26" s="2"/>
      <c r="X26" s="1"/>
      <c r="Y26" s="1"/>
      <c r="Z26" s="1"/>
      <c r="AA26" s="1"/>
      <c r="AB26" s="1"/>
      <c r="AC26" s="1"/>
      <c r="AD26" s="1"/>
      <c r="AE26" s="1"/>
      <c r="AF26" s="1"/>
      <c r="AG26" s="1"/>
      <c r="AH26" s="1"/>
      <c r="AI26" s="1"/>
      <c r="AJ26" s="1"/>
      <c r="AK26" s="1"/>
      <c r="AL26" s="1"/>
      <c r="AM26" s="1"/>
      <c r="AN26" s="1"/>
      <c r="AO26" s="1"/>
      <c r="AP26" s="1"/>
      <c r="AQ26" s="1"/>
      <c r="AR26" s="1"/>
    </row>
    <row r="27" spans="1:44" x14ac:dyDescent="0.25">
      <c r="A27" s="1"/>
      <c r="B27" s="1"/>
      <c r="C27" s="1"/>
      <c r="D27" s="1"/>
      <c r="E27" s="1"/>
      <c r="F27" s="2"/>
      <c r="G27" s="2"/>
      <c r="H27" s="2"/>
      <c r="I27" s="2"/>
      <c r="J27" s="2"/>
      <c r="K27" s="2"/>
      <c r="L27" s="2"/>
      <c r="M27" s="2"/>
      <c r="N27" s="2"/>
      <c r="O27" s="2"/>
      <c r="P27" s="2"/>
      <c r="Q27" s="2"/>
      <c r="R27" s="2"/>
      <c r="S27" s="2"/>
      <c r="T27" s="2"/>
      <c r="U27" s="2"/>
      <c r="V27" s="2"/>
      <c r="W27" s="2"/>
      <c r="X27" s="1"/>
      <c r="Y27" s="1"/>
      <c r="Z27" s="1"/>
      <c r="AA27" s="1"/>
      <c r="AB27" s="1"/>
      <c r="AC27" s="1"/>
      <c r="AD27" s="1"/>
      <c r="AE27" s="1"/>
      <c r="AF27" s="1"/>
      <c r="AG27" s="1"/>
      <c r="AH27" s="1"/>
      <c r="AI27" s="1"/>
      <c r="AJ27" s="1"/>
      <c r="AK27" s="1"/>
      <c r="AL27" s="1"/>
      <c r="AM27" s="1"/>
      <c r="AN27" s="1"/>
      <c r="AO27" s="1"/>
      <c r="AP27" s="1"/>
      <c r="AQ27" s="1"/>
      <c r="AR27" s="1"/>
    </row>
    <row r="28" spans="1:44" ht="15" customHeight="1" x14ac:dyDescent="0.25">
      <c r="A28" s="1"/>
      <c r="B28" s="264" t="s">
        <v>194</v>
      </c>
      <c r="C28" s="264"/>
      <c r="D28" s="264"/>
      <c r="E28" s="264"/>
      <c r="F28" s="264"/>
      <c r="G28" s="264"/>
      <c r="H28" s="264"/>
      <c r="I28" s="264"/>
      <c r="J28" s="264"/>
      <c r="K28" s="264"/>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row>
    <row r="29" spans="1:44" s="32" customFormat="1" ht="18.75" customHeight="1" x14ac:dyDescent="0.25">
      <c r="A29" s="59"/>
      <c r="B29" s="59" t="s">
        <v>263</v>
      </c>
      <c r="C29" s="59"/>
      <c r="D29" s="59"/>
      <c r="E29" s="59"/>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row>
    <row r="30" spans="1:44" ht="18.75" customHeight="1" x14ac:dyDescent="0.25">
      <c r="A30" s="1"/>
      <c r="B30" s="69" t="s">
        <v>193</v>
      </c>
      <c r="C30" s="69" t="s">
        <v>134</v>
      </c>
      <c r="D30" s="69" t="s">
        <v>4</v>
      </c>
      <c r="E30" s="267" t="s">
        <v>632</v>
      </c>
      <c r="F30" s="267"/>
      <c r="G30" s="267"/>
      <c r="H30" s="267"/>
      <c r="I30" s="267"/>
      <c r="J30" s="267"/>
      <c r="K30" s="267"/>
      <c r="L30" s="267"/>
      <c r="M30" s="267"/>
      <c r="N30" s="267"/>
      <c r="O30" s="267"/>
      <c r="P30" s="267"/>
      <c r="Q30" s="267"/>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row>
    <row r="31" spans="1:44" ht="18.75" customHeight="1" x14ac:dyDescent="0.25">
      <c r="A31" s="1"/>
      <c r="B31" s="120"/>
      <c r="C31" s="61" t="s">
        <v>33</v>
      </c>
      <c r="D31" s="62" t="s">
        <v>41</v>
      </c>
      <c r="E31" s="268" t="s">
        <v>198</v>
      </c>
      <c r="F31" s="268"/>
      <c r="G31" s="268"/>
      <c r="H31" s="268"/>
      <c r="I31" s="268"/>
      <c r="J31" s="268"/>
      <c r="K31" s="268"/>
      <c r="L31" s="268"/>
      <c r="M31" s="268"/>
      <c r="N31" s="268"/>
      <c r="O31" s="268"/>
      <c r="P31" s="268"/>
      <c r="Q31" s="268"/>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row>
    <row r="32" spans="1:44" ht="18.75" customHeight="1" x14ac:dyDescent="0.25">
      <c r="A32" s="1"/>
      <c r="B32" s="22"/>
      <c r="C32" s="61" t="s">
        <v>33</v>
      </c>
      <c r="D32" s="62" t="s">
        <v>43</v>
      </c>
      <c r="E32" s="268" t="s">
        <v>199</v>
      </c>
      <c r="F32" s="268"/>
      <c r="G32" s="268"/>
      <c r="H32" s="268"/>
      <c r="I32" s="268"/>
      <c r="J32" s="268"/>
      <c r="K32" s="268"/>
      <c r="L32" s="268"/>
      <c r="M32" s="268"/>
      <c r="N32" s="268"/>
      <c r="O32" s="268"/>
      <c r="P32" s="268"/>
      <c r="Q32" s="268"/>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row>
    <row r="33" spans="1:44" ht="18.75" customHeight="1" x14ac:dyDescent="0.25">
      <c r="A33" s="1"/>
      <c r="B33" s="23"/>
      <c r="C33" s="61" t="s">
        <v>33</v>
      </c>
      <c r="D33" s="62" t="s">
        <v>45</v>
      </c>
      <c r="E33" s="268" t="s">
        <v>202</v>
      </c>
      <c r="F33" s="268"/>
      <c r="G33" s="268"/>
      <c r="H33" s="268"/>
      <c r="I33" s="268"/>
      <c r="J33" s="268"/>
      <c r="K33" s="268"/>
      <c r="L33" s="268"/>
      <c r="M33" s="268"/>
      <c r="N33" s="268"/>
      <c r="O33" s="268"/>
      <c r="P33" s="268"/>
      <c r="Q33" s="268"/>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row>
    <row r="34" spans="1:44" ht="18.75" customHeight="1" x14ac:dyDescent="0.25">
      <c r="A34" s="1"/>
      <c r="B34" s="24"/>
      <c r="C34" s="61" t="s">
        <v>33</v>
      </c>
      <c r="D34" s="62" t="s">
        <v>50</v>
      </c>
      <c r="E34" s="268" t="s">
        <v>203</v>
      </c>
      <c r="F34" s="268"/>
      <c r="G34" s="268"/>
      <c r="H34" s="268"/>
      <c r="I34" s="268"/>
      <c r="J34" s="268"/>
      <c r="K34" s="268"/>
      <c r="L34" s="268"/>
      <c r="M34" s="268"/>
      <c r="N34" s="268"/>
      <c r="O34" s="268"/>
      <c r="P34" s="268"/>
      <c r="Q34" s="268"/>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row>
    <row r="35" spans="1:44" ht="18.75" customHeight="1" x14ac:dyDescent="0.25">
      <c r="A35" s="1"/>
      <c r="B35" s="25"/>
      <c r="C35" s="61" t="s">
        <v>44</v>
      </c>
      <c r="D35" s="62" t="s">
        <v>176</v>
      </c>
      <c r="E35" s="268" t="s">
        <v>200</v>
      </c>
      <c r="F35" s="268"/>
      <c r="G35" s="268"/>
      <c r="H35" s="268"/>
      <c r="I35" s="268"/>
      <c r="J35" s="268"/>
      <c r="K35" s="268"/>
      <c r="L35" s="268"/>
      <c r="M35" s="268"/>
      <c r="N35" s="268"/>
      <c r="O35" s="268"/>
      <c r="P35" s="268"/>
      <c r="Q35" s="268"/>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row>
    <row r="36" spans="1:44" ht="18.75" customHeight="1" x14ac:dyDescent="0.25">
      <c r="A36" s="1"/>
      <c r="B36" s="26"/>
      <c r="C36" s="61" t="s">
        <v>33</v>
      </c>
      <c r="D36" s="62" t="s">
        <v>176</v>
      </c>
      <c r="E36" s="268" t="s">
        <v>201</v>
      </c>
      <c r="F36" s="268"/>
      <c r="G36" s="268"/>
      <c r="H36" s="268"/>
      <c r="I36" s="268"/>
      <c r="J36" s="268"/>
      <c r="K36" s="268"/>
      <c r="L36" s="268"/>
      <c r="M36" s="268"/>
      <c r="N36" s="268"/>
      <c r="O36" s="268"/>
      <c r="P36" s="268"/>
      <c r="Q36" s="268"/>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row>
    <row r="37" spans="1:44" ht="18.75" customHeight="1" x14ac:dyDescent="0.25">
      <c r="A37" s="1"/>
      <c r="B37" s="27"/>
      <c r="C37" s="61" t="s">
        <v>33</v>
      </c>
      <c r="D37" s="62" t="s">
        <v>177</v>
      </c>
      <c r="E37" s="268" t="s">
        <v>205</v>
      </c>
      <c r="F37" s="268"/>
      <c r="G37" s="268"/>
      <c r="H37" s="268"/>
      <c r="I37" s="268"/>
      <c r="J37" s="268"/>
      <c r="K37" s="268"/>
      <c r="L37" s="268"/>
      <c r="M37" s="268"/>
      <c r="N37" s="268"/>
      <c r="O37" s="268"/>
      <c r="P37" s="268"/>
      <c r="Q37" s="268"/>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row>
    <row r="38" spans="1:4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row>
    <row r="39" spans="1:44" s="29" customFormat="1" ht="15" customHeight="1" x14ac:dyDescent="0.25">
      <c r="A39" s="63"/>
      <c r="B39" s="64" t="s">
        <v>195</v>
      </c>
      <c r="C39" s="65"/>
      <c r="D39" s="65"/>
      <c r="E39" s="65"/>
      <c r="F39" s="65"/>
      <c r="G39" s="65"/>
      <c r="H39" s="63"/>
      <c r="I39" s="63"/>
      <c r="J39" s="63"/>
      <c r="K39" s="63"/>
      <c r="L39" s="63"/>
      <c r="M39" s="63"/>
      <c r="N39" s="63"/>
      <c r="O39" s="63"/>
      <c r="P39" s="63"/>
      <c r="Q39" s="63"/>
      <c r="R39" s="63"/>
      <c r="S39" s="63"/>
      <c r="T39" s="63"/>
      <c r="U39" s="63"/>
      <c r="V39" s="63"/>
      <c r="W39" s="63"/>
      <c r="X39" s="63"/>
      <c r="Y39" s="63"/>
      <c r="Z39" s="63"/>
      <c r="AA39" s="63"/>
      <c r="AB39" s="63"/>
      <c r="AC39" s="63"/>
      <c r="AD39" s="63"/>
      <c r="AE39" s="63"/>
      <c r="AF39" s="63"/>
      <c r="AG39" s="63"/>
      <c r="AH39" s="63"/>
      <c r="AI39" s="63"/>
      <c r="AJ39" s="63"/>
      <c r="AK39" s="63"/>
      <c r="AL39" s="63"/>
      <c r="AM39" s="63"/>
      <c r="AN39" s="63"/>
      <c r="AO39" s="63"/>
      <c r="AP39" s="63"/>
      <c r="AQ39" s="63"/>
      <c r="AR39" s="63"/>
    </row>
    <row r="40" spans="1:44" s="32" customFormat="1" ht="15" customHeight="1" x14ac:dyDescent="0.25">
      <c r="A40" s="59"/>
      <c r="B40" s="59" t="s">
        <v>706</v>
      </c>
      <c r="C40" s="59"/>
      <c r="D40" s="59"/>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row>
    <row r="41" spans="1:44" s="32" customFormat="1" ht="18.75" customHeight="1" x14ac:dyDescent="0.25">
      <c r="A41" s="59"/>
      <c r="B41" s="59" t="s">
        <v>268</v>
      </c>
      <c r="C41" s="59"/>
      <c r="D41" s="59"/>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row>
    <row r="42" spans="1:44" x14ac:dyDescent="0.25">
      <c r="A42" s="1"/>
      <c r="B42" s="266" t="s">
        <v>196</v>
      </c>
      <c r="C42" s="266"/>
      <c r="D42" s="266"/>
      <c r="E42" s="266" t="s">
        <v>197</v>
      </c>
      <c r="F42" s="266"/>
      <c r="G42" s="266"/>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row>
    <row r="43" spans="1:44" x14ac:dyDescent="0.25">
      <c r="A43" s="1"/>
      <c r="B43" s="265" t="s">
        <v>11</v>
      </c>
      <c r="C43" s="265"/>
      <c r="D43" s="265"/>
      <c r="E43" s="263" t="s">
        <v>691</v>
      </c>
      <c r="F43" s="263"/>
      <c r="G43" s="263"/>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row>
    <row r="44" spans="1:44" x14ac:dyDescent="0.25">
      <c r="A44" s="1"/>
      <c r="B44" s="265" t="s">
        <v>127</v>
      </c>
      <c r="C44" s="265"/>
      <c r="D44" s="265"/>
      <c r="E44" s="263" t="s">
        <v>599</v>
      </c>
      <c r="F44" s="263"/>
      <c r="G44" s="263"/>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row>
    <row r="45" spans="1:44" x14ac:dyDescent="0.25">
      <c r="A45" s="1"/>
      <c r="B45" s="265" t="s">
        <v>145</v>
      </c>
      <c r="C45" s="265"/>
      <c r="D45" s="265"/>
      <c r="E45" s="263" t="s">
        <v>690</v>
      </c>
      <c r="F45" s="263"/>
      <c r="G45" s="263"/>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row>
    <row r="46" spans="1:44" x14ac:dyDescent="0.25">
      <c r="A46" s="1"/>
      <c r="B46" s="265" t="s">
        <v>144</v>
      </c>
      <c r="C46" s="265"/>
      <c r="D46" s="265"/>
      <c r="E46" s="263" t="s">
        <v>816</v>
      </c>
      <c r="F46" s="263"/>
      <c r="G46" s="263"/>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x14ac:dyDescent="0.25">
      <c r="A47" s="1"/>
      <c r="B47" s="265" t="s">
        <v>591</v>
      </c>
      <c r="C47" s="265"/>
      <c r="D47" s="265"/>
      <c r="E47" s="263" t="s">
        <v>692</v>
      </c>
      <c r="F47" s="263"/>
      <c r="G47" s="263"/>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x14ac:dyDescent="0.25">
      <c r="A48" s="1"/>
      <c r="B48" s="265" t="s">
        <v>335</v>
      </c>
      <c r="C48" s="265"/>
      <c r="D48" s="265"/>
      <c r="E48" s="263" t="s">
        <v>548</v>
      </c>
      <c r="F48" s="263"/>
      <c r="G48" s="263"/>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x14ac:dyDescent="0.25">
      <c r="A49" s="1"/>
      <c r="B49" s="265" t="s">
        <v>146</v>
      </c>
      <c r="C49" s="265"/>
      <c r="D49" s="265"/>
      <c r="E49" s="263" t="s">
        <v>693</v>
      </c>
      <c r="F49" s="263"/>
      <c r="G49" s="263"/>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x14ac:dyDescent="0.25">
      <c r="A50" s="1"/>
      <c r="B50" s="265" t="s">
        <v>320</v>
      </c>
      <c r="C50" s="265"/>
      <c r="D50" s="265"/>
      <c r="E50" s="263" t="s">
        <v>315</v>
      </c>
      <c r="F50" s="263"/>
      <c r="G50" s="263"/>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x14ac:dyDescent="0.25">
      <c r="A51" s="1"/>
      <c r="B51" s="265" t="s">
        <v>724</v>
      </c>
      <c r="C51" s="265"/>
      <c r="D51" s="265"/>
      <c r="E51" s="263" t="s">
        <v>820</v>
      </c>
      <c r="F51" s="263"/>
      <c r="G51" s="263"/>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x14ac:dyDescent="0.25">
      <c r="A52" s="1"/>
      <c r="B52" s="66"/>
      <c r="C52" s="66"/>
      <c r="D52" s="66"/>
      <c r="E52" s="66"/>
      <c r="F52" s="66"/>
      <c r="G52" s="66"/>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ht="23.25" x14ac:dyDescent="0.35">
      <c r="A54" s="1"/>
      <c r="B54" s="163" t="s">
        <v>480</v>
      </c>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ht="18.75" x14ac:dyDescent="0.25">
      <c r="A55" s="1"/>
      <c r="B55" s="264" t="s">
        <v>481</v>
      </c>
      <c r="C55" s="264"/>
      <c r="D55" s="264"/>
      <c r="E55" s="264"/>
      <c r="F55" s="264"/>
      <c r="G55" s="264"/>
      <c r="H55" s="264"/>
      <c r="I55" s="264"/>
      <c r="J55" s="264"/>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x14ac:dyDescent="0.25">
      <c r="A56" s="1"/>
      <c r="B56" s="1"/>
      <c r="C56" s="251" t="s">
        <v>613</v>
      </c>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x14ac:dyDescent="0.25">
      <c r="A57" s="1"/>
      <c r="B57" s="1"/>
      <c r="C57" s="67" t="s">
        <v>482</v>
      </c>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row>
    <row r="58" spans="1:44" x14ac:dyDescent="0.25">
      <c r="A58" s="1"/>
      <c r="B58" s="1"/>
      <c r="C58" s="275" t="s">
        <v>484</v>
      </c>
      <c r="D58" s="275"/>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row>
    <row r="59" spans="1:44" x14ac:dyDescent="0.25">
      <c r="A59" s="1"/>
      <c r="B59" s="1"/>
      <c r="C59" s="251" t="s">
        <v>167</v>
      </c>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x14ac:dyDescent="0.25">
      <c r="A60" s="1"/>
      <c r="B60" s="1"/>
      <c r="C60" s="251" t="s">
        <v>483</v>
      </c>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row>
    <row r="62" spans="1:44"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row>
    <row r="63" spans="1:44" ht="26.25" x14ac:dyDescent="0.4">
      <c r="A63" s="1"/>
      <c r="B63" s="56" t="s">
        <v>549</v>
      </c>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row>
    <row r="64" spans="1:44"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row>
    <row r="65" spans="1:44" x14ac:dyDescent="0.25">
      <c r="A65" s="1"/>
      <c r="B65" s="61" t="s">
        <v>550</v>
      </c>
      <c r="C65" s="61" t="s">
        <v>551</v>
      </c>
      <c r="D65" s="254" t="s">
        <v>552</v>
      </c>
      <c r="E65" s="254"/>
      <c r="F65" s="256" t="s">
        <v>553</v>
      </c>
      <c r="G65" s="256"/>
      <c r="H65" s="256"/>
      <c r="I65" s="256"/>
      <c r="J65" s="256"/>
      <c r="K65" s="256"/>
      <c r="L65" s="256"/>
      <c r="M65" s="256"/>
      <c r="N65" s="256"/>
      <c r="O65" s="256"/>
      <c r="P65" s="256"/>
      <c r="Q65" s="256"/>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row>
    <row r="66" spans="1:44" x14ac:dyDescent="0.25">
      <c r="A66" s="1"/>
      <c r="B66" s="61">
        <v>1</v>
      </c>
      <c r="C66" s="68">
        <v>43132</v>
      </c>
      <c r="D66" s="254" t="s">
        <v>554</v>
      </c>
      <c r="E66" s="254"/>
      <c r="F66" s="256" t="s">
        <v>555</v>
      </c>
      <c r="G66" s="256"/>
      <c r="H66" s="256"/>
      <c r="I66" s="256"/>
      <c r="J66" s="256"/>
      <c r="K66" s="256"/>
      <c r="L66" s="256"/>
      <c r="M66" s="256"/>
      <c r="N66" s="256"/>
      <c r="O66" s="256"/>
      <c r="P66" s="256"/>
      <c r="Q66" s="256"/>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row>
    <row r="67" spans="1:44" x14ac:dyDescent="0.25">
      <c r="A67" s="1"/>
      <c r="B67" s="61">
        <v>2</v>
      </c>
      <c r="C67" s="68">
        <v>43252</v>
      </c>
      <c r="D67" s="254" t="s">
        <v>554</v>
      </c>
      <c r="E67" s="254"/>
      <c r="F67" s="256" t="s">
        <v>556</v>
      </c>
      <c r="G67" s="256"/>
      <c r="H67" s="256"/>
      <c r="I67" s="256"/>
      <c r="J67" s="256"/>
      <c r="K67" s="256"/>
      <c r="L67" s="256"/>
      <c r="M67" s="256"/>
      <c r="N67" s="256"/>
      <c r="O67" s="256"/>
      <c r="P67" s="256"/>
      <c r="Q67" s="256"/>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1:44" x14ac:dyDescent="0.25">
      <c r="A68" s="1"/>
      <c r="B68" s="61">
        <v>3</v>
      </c>
      <c r="C68" s="68">
        <v>43500</v>
      </c>
      <c r="D68" s="257" t="s">
        <v>554</v>
      </c>
      <c r="E68" s="258"/>
      <c r="F68" s="259" t="s">
        <v>557</v>
      </c>
      <c r="G68" s="260"/>
      <c r="H68" s="260"/>
      <c r="I68" s="260"/>
      <c r="J68" s="260"/>
      <c r="K68" s="260"/>
      <c r="L68" s="260"/>
      <c r="M68" s="260"/>
      <c r="N68" s="260"/>
      <c r="O68" s="260"/>
      <c r="P68" s="260"/>
      <c r="Q68" s="26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1:44" x14ac:dyDescent="0.25">
      <c r="A69" s="1"/>
      <c r="B69" s="61">
        <v>4</v>
      </c>
      <c r="C69" s="68">
        <v>43556</v>
      </c>
      <c r="D69" s="257" t="s">
        <v>554</v>
      </c>
      <c r="E69" s="258"/>
      <c r="F69" s="256" t="s">
        <v>581</v>
      </c>
      <c r="G69" s="256"/>
      <c r="H69" s="256"/>
      <c r="I69" s="256"/>
      <c r="J69" s="256"/>
      <c r="K69" s="256"/>
      <c r="L69" s="256"/>
      <c r="M69" s="256"/>
      <c r="N69" s="256"/>
      <c r="O69" s="256"/>
      <c r="P69" s="256"/>
      <c r="Q69" s="256"/>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1:44" x14ac:dyDescent="0.25">
      <c r="A70" s="1"/>
      <c r="B70" s="61">
        <v>5</v>
      </c>
      <c r="C70" s="68">
        <v>43896</v>
      </c>
      <c r="D70" s="257" t="s">
        <v>554</v>
      </c>
      <c r="E70" s="258"/>
      <c r="F70" s="256" t="s">
        <v>611</v>
      </c>
      <c r="G70" s="256"/>
      <c r="H70" s="256"/>
      <c r="I70" s="256"/>
      <c r="J70" s="256"/>
      <c r="K70" s="256"/>
      <c r="L70" s="256"/>
      <c r="M70" s="256"/>
      <c r="N70" s="256"/>
      <c r="O70" s="256"/>
      <c r="P70" s="256"/>
      <c r="Q70" s="256"/>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1:44" x14ac:dyDescent="0.25">
      <c r="A71" s="1"/>
      <c r="B71" s="61">
        <v>6</v>
      </c>
      <c r="C71" s="68">
        <v>44055</v>
      </c>
      <c r="D71" s="257" t="s">
        <v>554</v>
      </c>
      <c r="E71" s="258"/>
      <c r="F71" s="256" t="s">
        <v>612</v>
      </c>
      <c r="G71" s="256"/>
      <c r="H71" s="256"/>
      <c r="I71" s="256"/>
      <c r="J71" s="256"/>
      <c r="K71" s="256"/>
      <c r="L71" s="256"/>
      <c r="M71" s="256"/>
      <c r="N71" s="256"/>
      <c r="O71" s="256"/>
      <c r="P71" s="256"/>
      <c r="Q71" s="256"/>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1:44" x14ac:dyDescent="0.25">
      <c r="A72" s="1"/>
      <c r="B72" s="61">
        <v>7</v>
      </c>
      <c r="C72" s="68">
        <v>44112</v>
      </c>
      <c r="D72" s="257" t="s">
        <v>554</v>
      </c>
      <c r="E72" s="258"/>
      <c r="F72" s="256" t="s">
        <v>634</v>
      </c>
      <c r="G72" s="256"/>
      <c r="H72" s="256"/>
      <c r="I72" s="256"/>
      <c r="J72" s="256"/>
      <c r="K72" s="256"/>
      <c r="L72" s="256"/>
      <c r="M72" s="256"/>
      <c r="N72" s="256"/>
      <c r="O72" s="256"/>
      <c r="P72" s="256"/>
      <c r="Q72" s="256"/>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1:44" x14ac:dyDescent="0.25">
      <c r="A73" s="1"/>
      <c r="B73" s="61">
        <v>8</v>
      </c>
      <c r="C73" s="68">
        <v>44136</v>
      </c>
      <c r="D73" s="254" t="s">
        <v>554</v>
      </c>
      <c r="E73" s="254"/>
      <c r="F73" s="256" t="s">
        <v>646</v>
      </c>
      <c r="G73" s="256"/>
      <c r="H73" s="256"/>
      <c r="I73" s="256"/>
      <c r="J73" s="256"/>
      <c r="K73" s="256"/>
      <c r="L73" s="256"/>
      <c r="M73" s="256"/>
      <c r="N73" s="256"/>
      <c r="O73" s="256"/>
      <c r="P73" s="256"/>
      <c r="Q73" s="256"/>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1:44" x14ac:dyDescent="0.25">
      <c r="A74" s="1"/>
      <c r="B74" s="61">
        <v>9</v>
      </c>
      <c r="C74" s="68">
        <v>44228</v>
      </c>
      <c r="D74" s="254" t="s">
        <v>554</v>
      </c>
      <c r="E74" s="254"/>
      <c r="F74" s="256" t="s">
        <v>707</v>
      </c>
      <c r="G74" s="256"/>
      <c r="H74" s="256"/>
      <c r="I74" s="256"/>
      <c r="J74" s="256"/>
      <c r="K74" s="256"/>
      <c r="L74" s="256"/>
      <c r="M74" s="256"/>
      <c r="N74" s="256"/>
      <c r="O74" s="256"/>
      <c r="P74" s="256"/>
      <c r="Q74" s="256"/>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1:44" ht="45" customHeight="1" x14ac:dyDescent="0.25">
      <c r="A75" s="1"/>
      <c r="B75" s="211">
        <v>10</v>
      </c>
      <c r="C75" s="68">
        <v>44515</v>
      </c>
      <c r="D75" s="254" t="s">
        <v>554</v>
      </c>
      <c r="E75" s="254"/>
      <c r="F75" s="255" t="s">
        <v>817</v>
      </c>
      <c r="G75" s="256"/>
      <c r="H75" s="256"/>
      <c r="I75" s="256"/>
      <c r="J75" s="256"/>
      <c r="K75" s="256"/>
      <c r="L75" s="256"/>
      <c r="M75" s="256"/>
      <c r="N75" s="256"/>
      <c r="O75" s="256"/>
      <c r="P75" s="256"/>
      <c r="Q75" s="256"/>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1:44" x14ac:dyDescent="0.25">
      <c r="A76" s="1"/>
      <c r="B76" s="252">
        <v>11</v>
      </c>
      <c r="C76" s="68">
        <v>45056</v>
      </c>
      <c r="D76" s="254" t="s">
        <v>554</v>
      </c>
      <c r="E76" s="254"/>
      <c r="F76" s="255" t="s">
        <v>841</v>
      </c>
      <c r="G76" s="256"/>
      <c r="H76" s="256"/>
      <c r="I76" s="256"/>
      <c r="J76" s="256"/>
      <c r="K76" s="256"/>
      <c r="L76" s="256"/>
      <c r="M76" s="256"/>
      <c r="N76" s="256"/>
      <c r="O76" s="256"/>
      <c r="P76" s="256"/>
      <c r="Q76" s="256"/>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1:44"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1:44"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1:44"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row>
    <row r="80" spans="1:44"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row>
    <row r="81" spans="1:44"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row>
    <row r="82" spans="1:44"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row>
    <row r="83" spans="1:44"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row>
    <row r="84" spans="1:44"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row>
    <row r="85" spans="1:44"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row>
    <row r="86" spans="1:44"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row>
    <row r="87" spans="1:44"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row>
    <row r="88" spans="1:44"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row>
    <row r="89" spans="1:44"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row>
    <row r="90" spans="1:44"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row>
    <row r="91" spans="1:44"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row>
    <row r="92" spans="1:44"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row>
    <row r="93" spans="1:44"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row>
    <row r="94" spans="1:44"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row>
    <row r="95" spans="1:44"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row>
    <row r="96" spans="1:44"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row>
    <row r="97" spans="1:44"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row>
    <row r="98" spans="1:44"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row>
    <row r="99" spans="1:44"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row>
    <row r="100" spans="1:44"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row>
    <row r="101" spans="1:44"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row>
    <row r="102" spans="1:44"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row>
    <row r="103" spans="1:44"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row>
    <row r="104" spans="1:44"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row>
    <row r="105" spans="1:44"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row>
    <row r="106" spans="1:44"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row>
    <row r="107" spans="1:44"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row>
    <row r="108" spans="1:44"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row>
    <row r="109" spans="1:44"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row>
    <row r="110" spans="1:44"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row>
    <row r="111" spans="1:44"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row>
    <row r="112" spans="1:44"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row>
    <row r="113" spans="1:44"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row>
    <row r="114" spans="1:44"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row>
    <row r="115" spans="1:44"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row>
    <row r="116" spans="1:44"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row>
    <row r="117" spans="1:44"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row>
    <row r="118" spans="1:44"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row>
    <row r="119" spans="1:44"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row>
    <row r="120" spans="1:44"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row>
    <row r="121" spans="1:44"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row>
    <row r="122" spans="1:44"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row>
    <row r="123" spans="1:44"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row>
    <row r="124" spans="1:44"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row>
    <row r="125" spans="1:44"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row>
    <row r="126" spans="1:44"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row>
    <row r="127" spans="1:44"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row>
    <row r="128" spans="1:44"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row>
    <row r="129" spans="1:44"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row>
    <row r="130" spans="1:44"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row>
  </sheetData>
  <mergeCells count="72">
    <mergeCell ref="B51:D51"/>
    <mergeCell ref="E51:G51"/>
    <mergeCell ref="D75:E75"/>
    <mergeCell ref="F75:Q75"/>
    <mergeCell ref="B3:Q3"/>
    <mergeCell ref="B6:K6"/>
    <mergeCell ref="C58:D58"/>
    <mergeCell ref="B21:E21"/>
    <mergeCell ref="F21:Q21"/>
    <mergeCell ref="F22:Q22"/>
    <mergeCell ref="F23:Q23"/>
    <mergeCell ref="B23:E23"/>
    <mergeCell ref="B43:D43"/>
    <mergeCell ref="B26:E26"/>
    <mergeCell ref="B45:D45"/>
    <mergeCell ref="E37:Q37"/>
    <mergeCell ref="B48:D48"/>
    <mergeCell ref="E42:G42"/>
    <mergeCell ref="E43:G43"/>
    <mergeCell ref="E45:G45"/>
    <mergeCell ref="E34:Q34"/>
    <mergeCell ref="E30:Q30"/>
    <mergeCell ref="E35:Q35"/>
    <mergeCell ref="E36:Q36"/>
    <mergeCell ref="F20:Q20"/>
    <mergeCell ref="B22:E22"/>
    <mergeCell ref="B20:E20"/>
    <mergeCell ref="E33:Q33"/>
    <mergeCell ref="E31:Q31"/>
    <mergeCell ref="E32:Q32"/>
    <mergeCell ref="B28:K28"/>
    <mergeCell ref="B24:E24"/>
    <mergeCell ref="B25:E25"/>
    <mergeCell ref="F26:Q26"/>
    <mergeCell ref="B5:Q5"/>
    <mergeCell ref="F25:Q25"/>
    <mergeCell ref="F24:Q24"/>
    <mergeCell ref="E48:G48"/>
    <mergeCell ref="B55:J55"/>
    <mergeCell ref="B50:D50"/>
    <mergeCell ref="E50:G50"/>
    <mergeCell ref="E46:G46"/>
    <mergeCell ref="B46:D46"/>
    <mergeCell ref="B44:D44"/>
    <mergeCell ref="E44:G44"/>
    <mergeCell ref="E47:G47"/>
    <mergeCell ref="E49:G49"/>
    <mergeCell ref="B42:D42"/>
    <mergeCell ref="B47:D47"/>
    <mergeCell ref="B49:D49"/>
    <mergeCell ref="D65:E65"/>
    <mergeCell ref="F65:Q65"/>
    <mergeCell ref="D66:E66"/>
    <mergeCell ref="F66:Q66"/>
    <mergeCell ref="D67:E67"/>
    <mergeCell ref="F67:Q67"/>
    <mergeCell ref="D68:E68"/>
    <mergeCell ref="F68:Q68"/>
    <mergeCell ref="D69:E69"/>
    <mergeCell ref="F69:Q69"/>
    <mergeCell ref="D70:E70"/>
    <mergeCell ref="F70:Q70"/>
    <mergeCell ref="D76:E76"/>
    <mergeCell ref="F76:Q76"/>
    <mergeCell ref="D74:E74"/>
    <mergeCell ref="F74:Q74"/>
    <mergeCell ref="D71:E71"/>
    <mergeCell ref="F71:Q71"/>
    <mergeCell ref="D72:E72"/>
    <mergeCell ref="F72:Q72"/>
    <mergeCell ref="D73:E73"/>
    <mergeCell ref="F73:Q73"/>
  </mergeCells>
  <hyperlinks>
    <hyperlink ref="C56" r:id="rId1" xr:uid="{00000000-0004-0000-0000-000000000000}"/>
    <hyperlink ref="C57" r:id="rId2" xr:uid="{00000000-0004-0000-0000-000001000000}"/>
    <hyperlink ref="C58" r:id="rId3" display="http://ctr.inetpsa.com/index.php" xr:uid="{00000000-0004-0000-0000-000002000000}"/>
    <hyperlink ref="C59" r:id="rId4" xr:uid="{00000000-0004-0000-0000-000003000000}"/>
    <hyperlink ref="C60" r:id="rId5" xr:uid="{00000000-0004-0000-0000-000004000000}"/>
    <hyperlink ref="E47:G47" r:id="rId6" display="Technical integration contacts" xr:uid="{00000000-0004-0000-0000-000005000000}"/>
    <hyperlink ref="E49:G49" r:id="rId7" display="Meteor-IT contacts" xr:uid="{00000000-0004-0000-0000-000006000000}"/>
    <hyperlink ref="E45:G45" r:id="rId8" location="/?id=communication-and-support" display="Development support" xr:uid="{00000000-0004-0000-0000-000007000000}"/>
    <hyperlink ref="E48:G48" r:id="rId9" display="IRUN/IMBC, DSEP/DCZS or SIBS/SEDE" xr:uid="{00000000-0004-0000-0000-000008000000}"/>
    <hyperlink ref="E43:G43" r:id="rId10" display="ISSI" xr:uid="{00000000-0004-0000-0000-000009000000}"/>
    <hyperlink ref="E46:G46" r:id="rId11" display="DSEP" xr:uid="{00000000-0004-0000-0000-00000A000000}"/>
    <hyperlink ref="E50:G50" r:id="rId12" display="CMDS" xr:uid="{00000000-0004-0000-0000-00000B000000}"/>
    <hyperlink ref="E44:G44" r:id="rId13" display="Actors for Safety and GDPR" xr:uid="{00000000-0004-0000-0000-00000C000000}"/>
    <hyperlink ref="B6:J6" r:id="rId14" display="For more information, please consult the e-learning about the non-functional requirements management." xr:uid="{00000000-0004-0000-0000-00000D000000}"/>
    <hyperlink ref="B6:K6" r:id="rId15" display="For more information, please consult the e-learning about the non-functional requirements management." xr:uid="{00000000-0004-0000-0000-00000E000000}"/>
    <hyperlink ref="C58:D58" r:id="rId16" display="CTR - Real Time Changes" xr:uid="{00000000-0004-0000-0000-00000F000000}"/>
    <hyperlink ref="E51:G51" r:id="rId17" display="SOX main contacts" xr:uid="{51D65BCC-E9DC-489E-A4E5-9B443DF90277}"/>
  </hyperlinks>
  <pageMargins left="0.7" right="0.7" top="0.75" bottom="0.75" header="0.3" footer="0.3"/>
  <pageSetup paperSize="9" orientation="portrait" r:id="rId18"/>
  <drawing r:id="rId1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1:AR54"/>
  <sheetViews>
    <sheetView workbookViewId="0">
      <selection activeCell="I8" sqref="I8:J8"/>
    </sheetView>
  </sheetViews>
  <sheetFormatPr defaultColWidth="11.42578125" defaultRowHeight="15" x14ac:dyDescent="0.25"/>
  <cols>
    <col min="1" max="2" width="2.85546875" style="1" customWidth="1"/>
    <col min="3" max="27" width="7.140625" style="1" customWidth="1"/>
    <col min="28" max="28" width="2.85546875" style="1" customWidth="1"/>
    <col min="29" max="16384" width="11.42578125" style="1"/>
  </cols>
  <sheetData>
    <row r="1" spans="2:28" ht="33.75" customHeight="1" x14ac:dyDescent="0.25">
      <c r="B1" s="295" t="s">
        <v>204</v>
      </c>
      <c r="C1" s="295"/>
      <c r="D1" s="295"/>
      <c r="E1" s="295"/>
      <c r="F1" s="295"/>
      <c r="G1" s="295"/>
      <c r="H1" s="295"/>
      <c r="I1" s="295"/>
      <c r="J1" s="295"/>
      <c r="K1" s="295"/>
      <c r="L1" s="295"/>
      <c r="M1" s="295"/>
      <c r="N1" s="295"/>
      <c r="O1" s="295"/>
      <c r="P1" s="295"/>
      <c r="Q1" s="295"/>
      <c r="R1" s="295"/>
      <c r="S1" s="295"/>
      <c r="T1" s="295"/>
      <c r="U1" s="295"/>
      <c r="V1" s="295"/>
      <c r="W1" s="295"/>
      <c r="X1" s="295"/>
      <c r="Y1" s="295"/>
      <c r="Z1" s="295"/>
      <c r="AA1" s="295"/>
    </row>
    <row r="2" spans="2:28" ht="15.75" thickBot="1" x14ac:dyDescent="0.3">
      <c r="B2" s="132"/>
      <c r="C2" s="133"/>
      <c r="D2" s="133"/>
      <c r="E2" s="133"/>
      <c r="F2" s="133"/>
      <c r="G2" s="133"/>
      <c r="H2" s="133"/>
      <c r="I2" s="133"/>
      <c r="J2" s="133"/>
      <c r="K2" s="133"/>
      <c r="L2" s="133"/>
      <c r="M2" s="133"/>
      <c r="N2" s="133"/>
      <c r="O2" s="133"/>
      <c r="P2" s="133"/>
      <c r="Q2" s="133"/>
      <c r="R2" s="133"/>
      <c r="S2" s="133"/>
      <c r="T2" s="133"/>
      <c r="U2" s="133"/>
      <c r="V2" s="133"/>
      <c r="W2" s="133"/>
      <c r="X2" s="133"/>
      <c r="Y2" s="133"/>
      <c r="Z2" s="133"/>
      <c r="AA2" s="133"/>
      <c r="AB2" s="134"/>
    </row>
    <row r="3" spans="2:28" x14ac:dyDescent="0.25">
      <c r="B3" s="135"/>
      <c r="C3" s="46" t="s">
        <v>186</v>
      </c>
      <c r="D3" s="47"/>
      <c r="E3" s="47"/>
      <c r="F3" s="302" t="s">
        <v>35</v>
      </c>
      <c r="G3" s="303"/>
      <c r="H3" s="303"/>
      <c r="I3" s="303"/>
      <c r="J3" s="296"/>
      <c r="K3" s="296"/>
      <c r="L3" s="296"/>
      <c r="M3" s="296"/>
      <c r="N3" s="296"/>
      <c r="O3" s="296"/>
      <c r="P3" s="296"/>
      <c r="Q3" s="297"/>
      <c r="R3" s="47"/>
      <c r="S3" s="47"/>
      <c r="T3" s="47"/>
      <c r="U3" s="47"/>
      <c r="V3" s="47"/>
      <c r="W3" s="47"/>
      <c r="X3" s="47"/>
      <c r="Y3" s="47"/>
      <c r="Z3" s="47"/>
      <c r="AA3" s="47"/>
      <c r="AB3" s="136"/>
    </row>
    <row r="4" spans="2:28" x14ac:dyDescent="0.25">
      <c r="B4" s="135"/>
      <c r="C4" s="47"/>
      <c r="D4" s="47"/>
      <c r="E4" s="47"/>
      <c r="F4" s="304" t="s">
        <v>36</v>
      </c>
      <c r="G4" s="305"/>
      <c r="H4" s="305"/>
      <c r="I4" s="305"/>
      <c r="J4" s="298"/>
      <c r="K4" s="298"/>
      <c r="L4" s="298"/>
      <c r="M4" s="298"/>
      <c r="N4" s="298"/>
      <c r="O4" s="298"/>
      <c r="P4" s="298"/>
      <c r="Q4" s="299"/>
      <c r="R4" s="47"/>
      <c r="S4" s="47"/>
      <c r="T4" s="47"/>
      <c r="U4" s="47"/>
      <c r="V4" s="47"/>
      <c r="W4" s="47"/>
      <c r="X4" s="47"/>
      <c r="Y4" s="47"/>
      <c r="Z4" s="47"/>
      <c r="AA4" s="47"/>
      <c r="AB4" s="136"/>
    </row>
    <row r="5" spans="2:28" ht="15.75" thickBot="1" x14ac:dyDescent="0.3">
      <c r="B5" s="135"/>
      <c r="C5" s="47"/>
      <c r="D5" s="47"/>
      <c r="E5" s="47"/>
      <c r="F5" s="306" t="s">
        <v>37</v>
      </c>
      <c r="G5" s="307"/>
      <c r="H5" s="307"/>
      <c r="I5" s="307"/>
      <c r="J5" s="300"/>
      <c r="K5" s="300"/>
      <c r="L5" s="300"/>
      <c r="M5" s="300"/>
      <c r="N5" s="300"/>
      <c r="O5" s="300"/>
      <c r="P5" s="300"/>
      <c r="Q5" s="301"/>
      <c r="R5" s="47"/>
      <c r="S5" s="47"/>
      <c r="T5" s="47"/>
      <c r="U5" s="47"/>
      <c r="V5" s="47"/>
      <c r="W5" s="47"/>
      <c r="X5" s="47"/>
      <c r="Y5" s="47"/>
      <c r="Z5" s="47"/>
      <c r="AA5" s="47"/>
      <c r="AB5" s="136"/>
    </row>
    <row r="6" spans="2:28" x14ac:dyDescent="0.25">
      <c r="B6" s="137"/>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9"/>
    </row>
    <row r="7" spans="2:28" ht="15.75" thickBot="1" x14ac:dyDescent="0.3">
      <c r="B7" s="140"/>
      <c r="C7" s="141"/>
      <c r="D7" s="141"/>
      <c r="E7" s="141"/>
      <c r="F7" s="141"/>
      <c r="G7" s="141"/>
      <c r="H7" s="141"/>
      <c r="I7" s="141"/>
      <c r="J7" s="141"/>
      <c r="K7" s="141"/>
      <c r="L7" s="141"/>
      <c r="M7" s="141"/>
      <c r="N7" s="141"/>
      <c r="O7" s="141"/>
      <c r="P7" s="141"/>
      <c r="Q7" s="141"/>
      <c r="R7" s="141"/>
      <c r="S7" s="141"/>
      <c r="T7" s="141"/>
      <c r="U7" s="141"/>
      <c r="V7" s="141"/>
      <c r="W7" s="141"/>
      <c r="X7" s="141"/>
      <c r="Y7" s="141"/>
      <c r="Z7" s="141"/>
      <c r="AA7" s="141"/>
      <c r="AB7" s="142"/>
    </row>
    <row r="8" spans="2:28" ht="15" customHeight="1" x14ac:dyDescent="0.25">
      <c r="B8" s="143"/>
      <c r="C8" s="44" t="s">
        <v>629</v>
      </c>
      <c r="D8" s="45"/>
      <c r="E8" s="45"/>
      <c r="F8" s="286" t="s">
        <v>702</v>
      </c>
      <c r="G8" s="287"/>
      <c r="H8" s="287"/>
      <c r="I8" s="290" t="s">
        <v>696</v>
      </c>
      <c r="J8" s="291"/>
      <c r="K8" s="294" t="s">
        <v>192</v>
      </c>
      <c r="L8" s="45"/>
      <c r="M8" s="45"/>
      <c r="N8" s="45"/>
      <c r="O8" s="45"/>
      <c r="P8" s="145"/>
      <c r="Q8" s="283" t="s">
        <v>700</v>
      </c>
      <c r="R8" s="283"/>
      <c r="S8" s="283"/>
      <c r="T8" s="283"/>
      <c r="U8" s="283"/>
      <c r="V8" s="283"/>
      <c r="W8" s="283"/>
      <c r="X8" s="283"/>
      <c r="Y8" s="283"/>
      <c r="Z8" s="283"/>
      <c r="AA8" s="283"/>
      <c r="AB8" s="144"/>
    </row>
    <row r="9" spans="2:28" ht="15" customHeight="1" x14ac:dyDescent="0.25">
      <c r="B9" s="143"/>
      <c r="C9" s="45" t="s">
        <v>463</v>
      </c>
      <c r="D9" s="45"/>
      <c r="E9" s="45"/>
      <c r="F9" s="288" t="s">
        <v>9</v>
      </c>
      <c r="G9" s="289"/>
      <c r="H9" s="289"/>
      <c r="I9" s="292">
        <v>2222</v>
      </c>
      <c r="J9" s="293"/>
      <c r="K9" s="294"/>
      <c r="L9" s="45"/>
      <c r="M9" s="45"/>
      <c r="N9" s="45"/>
      <c r="O9" s="145"/>
      <c r="P9" s="145"/>
      <c r="Q9" s="283"/>
      <c r="R9" s="283"/>
      <c r="S9" s="283"/>
      <c r="T9" s="283"/>
      <c r="U9" s="283"/>
      <c r="V9" s="283"/>
      <c r="W9" s="283"/>
      <c r="X9" s="283"/>
      <c r="Y9" s="283"/>
      <c r="Z9" s="283"/>
      <c r="AA9" s="283"/>
      <c r="AB9" s="144"/>
    </row>
    <row r="10" spans="2:28" ht="15.75" customHeight="1" x14ac:dyDescent="0.25">
      <c r="B10" s="143"/>
      <c r="C10" s="45" t="s">
        <v>631</v>
      </c>
      <c r="D10" s="45"/>
      <c r="E10" s="45"/>
      <c r="F10" s="288" t="s">
        <v>332</v>
      </c>
      <c r="G10" s="289"/>
      <c r="H10" s="289"/>
      <c r="I10" s="292">
        <v>9</v>
      </c>
      <c r="J10" s="293"/>
      <c r="K10" s="294"/>
      <c r="L10" s="45"/>
      <c r="M10" s="45"/>
      <c r="N10" s="45"/>
      <c r="O10" s="145"/>
      <c r="P10" s="145"/>
      <c r="Q10" s="283"/>
      <c r="R10" s="283"/>
      <c r="S10" s="283"/>
      <c r="T10" s="283"/>
      <c r="U10" s="283"/>
      <c r="V10" s="283"/>
      <c r="W10" s="283"/>
      <c r="X10" s="283"/>
      <c r="Y10" s="283"/>
      <c r="Z10" s="283"/>
      <c r="AA10" s="283"/>
      <c r="AB10" s="144"/>
    </row>
    <row r="11" spans="2:28" ht="15.75" customHeight="1" thickBot="1" x14ac:dyDescent="0.3">
      <c r="B11" s="143"/>
      <c r="C11" s="45"/>
      <c r="D11" s="45"/>
      <c r="E11" s="45"/>
      <c r="F11" s="281" t="s">
        <v>724</v>
      </c>
      <c r="G11" s="282"/>
      <c r="H11" s="282"/>
      <c r="I11" s="279" t="s">
        <v>44</v>
      </c>
      <c r="J11" s="280"/>
      <c r="K11" s="294"/>
      <c r="L11" s="45"/>
      <c r="M11" s="45"/>
      <c r="N11" s="45"/>
      <c r="O11" s="145"/>
      <c r="P11" s="145"/>
      <c r="Q11" s="283"/>
      <c r="R11" s="283"/>
      <c r="S11" s="283"/>
      <c r="T11" s="283"/>
      <c r="U11" s="283"/>
      <c r="V11" s="283"/>
      <c r="W11" s="283"/>
      <c r="X11" s="283"/>
      <c r="Y11" s="283"/>
      <c r="Z11" s="283"/>
      <c r="AA11" s="283"/>
      <c r="AB11" s="144"/>
    </row>
    <row r="12" spans="2:28" ht="15.75" customHeight="1" x14ac:dyDescent="0.25">
      <c r="B12" s="146"/>
      <c r="C12" s="147"/>
      <c r="D12" s="147"/>
      <c r="E12" s="147"/>
      <c r="F12" s="148"/>
      <c r="G12" s="148"/>
      <c r="H12" s="149"/>
      <c r="I12" s="149"/>
      <c r="J12" s="150"/>
      <c r="K12" s="147"/>
      <c r="L12" s="147"/>
      <c r="M12" s="147"/>
      <c r="N12" s="147"/>
      <c r="O12" s="151"/>
      <c r="P12" s="152"/>
      <c r="Q12" s="152"/>
      <c r="R12" s="152"/>
      <c r="S12" s="152"/>
      <c r="T12" s="152"/>
      <c r="U12" s="152"/>
      <c r="V12" s="152"/>
      <c r="W12" s="152"/>
      <c r="X12" s="152"/>
      <c r="Y12" s="152"/>
      <c r="Z12" s="152"/>
      <c r="AA12" s="152"/>
      <c r="AB12" s="153"/>
    </row>
    <row r="13" spans="2:28" x14ac:dyDescent="0.25">
      <c r="B13" s="154"/>
      <c r="C13" s="155"/>
      <c r="D13" s="155"/>
      <c r="E13" s="155"/>
      <c r="F13" s="155"/>
      <c r="G13" s="155"/>
      <c r="H13" s="155"/>
      <c r="I13" s="155"/>
      <c r="J13" s="155"/>
      <c r="K13" s="155"/>
      <c r="L13" s="155"/>
      <c r="M13" s="155"/>
      <c r="N13" s="155"/>
      <c r="O13" s="156"/>
      <c r="P13" s="156"/>
      <c r="Q13" s="156"/>
      <c r="R13" s="156"/>
      <c r="S13" s="156"/>
      <c r="T13" s="156"/>
      <c r="U13" s="156"/>
      <c r="V13" s="156"/>
      <c r="W13" s="156"/>
      <c r="X13" s="156"/>
      <c r="Y13" s="156"/>
      <c r="Z13" s="156"/>
      <c r="AA13" s="155"/>
      <c r="AB13" s="157"/>
    </row>
    <row r="14" spans="2:28" x14ac:dyDescent="0.25">
      <c r="B14" s="158"/>
      <c r="C14" s="43" t="s">
        <v>462</v>
      </c>
      <c r="D14" s="42"/>
      <c r="E14" s="42"/>
      <c r="F14" s="42"/>
      <c r="G14" s="42"/>
      <c r="H14" s="42"/>
      <c r="I14" s="42"/>
      <c r="J14" s="42"/>
      <c r="K14" s="284" t="s">
        <v>465</v>
      </c>
      <c r="L14" s="284"/>
      <c r="M14" s="284"/>
      <c r="N14" s="284"/>
      <c r="O14" s="284"/>
      <c r="P14" s="284"/>
      <c r="Q14" s="284"/>
      <c r="R14" s="284"/>
      <c r="S14" s="284"/>
      <c r="T14" s="284"/>
      <c r="U14" s="284"/>
      <c r="V14" s="284"/>
      <c r="W14" s="284"/>
      <c r="X14" s="284"/>
      <c r="Y14" s="284"/>
      <c r="Z14" s="284"/>
      <c r="AA14" s="284"/>
      <c r="AB14" s="159"/>
    </row>
    <row r="15" spans="2:28" ht="15" customHeight="1" x14ac:dyDescent="0.25">
      <c r="B15" s="158"/>
      <c r="C15" s="42" t="s">
        <v>464</v>
      </c>
      <c r="D15" s="42"/>
      <c r="E15" s="42"/>
      <c r="F15" s="42"/>
      <c r="G15" s="42"/>
      <c r="H15" s="42"/>
      <c r="I15" s="42"/>
      <c r="J15" s="42"/>
      <c r="K15" s="285" t="s">
        <v>598</v>
      </c>
      <c r="L15" s="285"/>
      <c r="M15" s="285"/>
      <c r="N15" s="285"/>
      <c r="O15" s="285"/>
      <c r="P15" s="285"/>
      <c r="Q15" s="285"/>
      <c r="R15" s="285"/>
      <c r="S15" s="285"/>
      <c r="T15" s="285"/>
      <c r="U15" s="285"/>
      <c r="V15" s="285"/>
      <c r="W15" s="285"/>
      <c r="X15" s="285"/>
      <c r="Y15" s="285"/>
      <c r="Z15" s="285"/>
      <c r="AA15" s="285"/>
      <c r="AB15" s="159"/>
    </row>
    <row r="16" spans="2:28" x14ac:dyDescent="0.25">
      <c r="B16" s="158"/>
      <c r="C16" s="42" t="s">
        <v>630</v>
      </c>
      <c r="D16" s="42"/>
      <c r="E16" s="42"/>
      <c r="F16" s="42"/>
      <c r="G16" s="42"/>
      <c r="H16" s="42"/>
      <c r="I16" s="42"/>
      <c r="J16" s="42"/>
      <c r="K16" s="285"/>
      <c r="L16" s="285"/>
      <c r="M16" s="285"/>
      <c r="N16" s="285"/>
      <c r="O16" s="285"/>
      <c r="P16" s="285"/>
      <c r="Q16" s="285"/>
      <c r="R16" s="285"/>
      <c r="S16" s="285"/>
      <c r="T16" s="285"/>
      <c r="U16" s="285"/>
      <c r="V16" s="285"/>
      <c r="W16" s="285"/>
      <c r="X16" s="285"/>
      <c r="Y16" s="285"/>
      <c r="Z16" s="285"/>
      <c r="AA16" s="285"/>
      <c r="AB16" s="159"/>
    </row>
    <row r="17" spans="2:44" x14ac:dyDescent="0.25">
      <c r="B17" s="160"/>
      <c r="C17" s="161"/>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1"/>
      <c r="AB17" s="162"/>
    </row>
    <row r="18" spans="2:44" ht="15.75" thickBot="1" x14ac:dyDescent="0.3"/>
    <row r="19" spans="2:44" ht="15" customHeight="1" x14ac:dyDescent="0.25">
      <c r="C19" s="15" t="s">
        <v>683</v>
      </c>
      <c r="K19" s="2"/>
      <c r="L19" s="349" t="s">
        <v>685</v>
      </c>
      <c r="M19" s="349"/>
      <c r="N19" s="349"/>
      <c r="O19" s="349"/>
      <c r="P19" s="349"/>
      <c r="Q19" s="349"/>
      <c r="R19" s="349"/>
      <c r="S19" s="349"/>
      <c r="T19" s="131"/>
      <c r="U19" s="343" t="str">
        <f>Params!B3</f>
        <v>Proposed</v>
      </c>
      <c r="V19" s="353" t="str">
        <f>Params!B4</f>
        <v>Accepted</v>
      </c>
      <c r="W19" s="308" t="str">
        <f>Params!B5</f>
        <v>Implemented</v>
      </c>
      <c r="X19" s="314" t="str">
        <f>Params!B6</f>
        <v>Verified</v>
      </c>
      <c r="Y19" s="311" t="str">
        <f>Params!B7</f>
        <v>Not feasible</v>
      </c>
      <c r="Z19" s="71"/>
      <c r="AA19" s="71"/>
    </row>
    <row r="20" spans="2:44" x14ac:dyDescent="0.25">
      <c r="C20" s="1" t="s">
        <v>684</v>
      </c>
      <c r="K20" s="71"/>
      <c r="L20" s="349"/>
      <c r="M20" s="349"/>
      <c r="N20" s="349"/>
      <c r="O20" s="349"/>
      <c r="P20" s="349"/>
      <c r="Q20" s="349"/>
      <c r="R20" s="349"/>
      <c r="S20" s="349"/>
      <c r="T20" s="131"/>
      <c r="U20" s="344"/>
      <c r="V20" s="354"/>
      <c r="W20" s="309"/>
      <c r="X20" s="315"/>
      <c r="Y20" s="312"/>
      <c r="Z20" s="71"/>
      <c r="AA20" s="71"/>
    </row>
    <row r="21" spans="2:44" ht="15.75" thickBot="1" x14ac:dyDescent="0.3">
      <c r="L21" s="349"/>
      <c r="M21" s="349"/>
      <c r="N21" s="349"/>
      <c r="O21" s="349"/>
      <c r="P21" s="349"/>
      <c r="Q21" s="349"/>
      <c r="R21" s="349"/>
      <c r="S21" s="349"/>
      <c r="T21" s="131"/>
      <c r="U21" s="344"/>
      <c r="V21" s="354"/>
      <c r="W21" s="309"/>
      <c r="X21" s="315"/>
      <c r="Y21" s="312"/>
      <c r="Z21" s="71"/>
      <c r="AA21" s="71"/>
    </row>
    <row r="22" spans="2:44" x14ac:dyDescent="0.25">
      <c r="C22" s="320" t="str">
        <f>Params!B3</f>
        <v>Proposed</v>
      </c>
      <c r="D22" s="321"/>
      <c r="E22" s="119">
        <f>COUNTIF('NFR repository'!I4:I178,Params!B3)</f>
        <v>133</v>
      </c>
      <c r="L22" s="71"/>
      <c r="M22" s="71"/>
      <c r="N22" s="71"/>
      <c r="O22" s="71"/>
      <c r="P22" s="71"/>
      <c r="Q22" s="71"/>
      <c r="R22" s="71"/>
      <c r="S22" s="71"/>
      <c r="T22" s="131"/>
      <c r="U22" s="344"/>
      <c r="V22" s="354"/>
      <c r="W22" s="309"/>
      <c r="X22" s="315"/>
      <c r="Y22" s="312"/>
    </row>
    <row r="23" spans="2:44" ht="15.75" thickBot="1" x14ac:dyDescent="0.3">
      <c r="C23" s="322" t="str">
        <f>Params!B4</f>
        <v>Accepted</v>
      </c>
      <c r="D23" s="323"/>
      <c r="E23" s="17">
        <f>COUNTIF('NFR repository'!I4:I178,Params!B4)</f>
        <v>0</v>
      </c>
      <c r="M23" s="71"/>
      <c r="N23" s="71"/>
      <c r="O23" s="71"/>
      <c r="U23" s="345"/>
      <c r="V23" s="355"/>
      <c r="W23" s="310"/>
      <c r="X23" s="316"/>
      <c r="Y23" s="313"/>
    </row>
    <row r="24" spans="2:44" ht="15" customHeight="1" x14ac:dyDescent="0.25">
      <c r="C24" s="324" t="str">
        <f>Params!B5</f>
        <v>Implemented</v>
      </c>
      <c r="D24" s="325"/>
      <c r="E24" s="20">
        <f>COUNTIF('NFR repository'!I4:I178,Params!B5)</f>
        <v>0</v>
      </c>
      <c r="K24" s="103"/>
      <c r="L24" s="334" t="s">
        <v>819</v>
      </c>
      <c r="M24" s="335"/>
      <c r="N24" s="335"/>
      <c r="O24" s="335"/>
      <c r="P24" s="335"/>
      <c r="Q24" s="328" t="s">
        <v>11</v>
      </c>
      <c r="R24" s="329"/>
      <c r="S24" s="329"/>
      <c r="T24" s="330"/>
      <c r="U24" s="128">
        <f>Calc!G3</f>
        <v>0</v>
      </c>
      <c r="V24" s="97">
        <f>Calc!G4</f>
        <v>0</v>
      </c>
      <c r="W24" s="98">
        <f>Calc!G5</f>
        <v>0</v>
      </c>
      <c r="X24" s="116">
        <f>Calc!G6</f>
        <v>0</v>
      </c>
      <c r="Y24" s="99">
        <f>Calc!G7</f>
        <v>0</v>
      </c>
    </row>
    <row r="25" spans="2:44" x14ac:dyDescent="0.25">
      <c r="C25" s="326" t="str">
        <f>Params!B6</f>
        <v>Verified</v>
      </c>
      <c r="D25" s="327"/>
      <c r="E25" s="18">
        <f>COUNTIF('NFR repository'!I4:I178,Params!B6)</f>
        <v>0</v>
      </c>
      <c r="K25" s="103"/>
      <c r="L25" s="336"/>
      <c r="M25" s="337"/>
      <c r="N25" s="337"/>
      <c r="O25" s="337"/>
      <c r="P25" s="337"/>
      <c r="Q25" s="331" t="s">
        <v>127</v>
      </c>
      <c r="R25" s="332"/>
      <c r="S25" s="332"/>
      <c r="T25" s="333"/>
      <c r="U25" s="129">
        <f>Calc!H3</f>
        <v>0</v>
      </c>
      <c r="V25" s="234">
        <f>Calc!H4</f>
        <v>0</v>
      </c>
      <c r="W25" s="235">
        <f>Calc!H5</f>
        <v>0</v>
      </c>
      <c r="X25" s="117">
        <f>Calc!H6</f>
        <v>0</v>
      </c>
      <c r="Y25" s="100">
        <f>Calc!H7</f>
        <v>0</v>
      </c>
    </row>
    <row r="26" spans="2:44" ht="15.75" thickBot="1" x14ac:dyDescent="0.3">
      <c r="C26" s="318" t="str">
        <f>Params!B7</f>
        <v>Not feasible</v>
      </c>
      <c r="D26" s="319"/>
      <c r="E26" s="19">
        <f>COUNTIF('NFR repository'!I4:I178,Params!B7)</f>
        <v>0</v>
      </c>
      <c r="K26" s="103"/>
      <c r="L26" s="336"/>
      <c r="M26" s="337"/>
      <c r="N26" s="337"/>
      <c r="O26" s="337"/>
      <c r="P26" s="337"/>
      <c r="Q26" s="331" t="s">
        <v>145</v>
      </c>
      <c r="R26" s="332"/>
      <c r="S26" s="332"/>
      <c r="T26" s="333"/>
      <c r="U26" s="129">
        <f>Calc!I3</f>
        <v>0</v>
      </c>
      <c r="V26" s="234">
        <f>Calc!I4</f>
        <v>0</v>
      </c>
      <c r="W26" s="235">
        <f>Calc!I5</f>
        <v>0</v>
      </c>
      <c r="X26" s="117">
        <f>Calc!I6</f>
        <v>0</v>
      </c>
      <c r="Y26" s="100">
        <f>Calc!I7</f>
        <v>0</v>
      </c>
      <c r="AA26" s="70"/>
      <c r="AB26" s="70"/>
      <c r="AC26" s="70"/>
      <c r="AD26" s="70"/>
      <c r="AE26" s="70"/>
      <c r="AF26" s="70"/>
      <c r="AG26" s="70"/>
      <c r="AH26" s="70"/>
      <c r="AI26" s="70"/>
      <c r="AJ26" s="70"/>
      <c r="AK26" s="70"/>
      <c r="AL26" s="70"/>
      <c r="AM26" s="70"/>
      <c r="AN26" s="70"/>
      <c r="AO26" s="70"/>
      <c r="AP26" s="70"/>
      <c r="AQ26" s="70"/>
      <c r="AR26" s="70"/>
    </row>
    <row r="27" spans="2:44" ht="15" customHeight="1" x14ac:dyDescent="0.25">
      <c r="C27" s="317" t="s">
        <v>185</v>
      </c>
      <c r="D27" s="317"/>
      <c r="E27" s="16">
        <f>SUM(E22:E26)</f>
        <v>133</v>
      </c>
      <c r="L27" s="336"/>
      <c r="M27" s="337"/>
      <c r="N27" s="337"/>
      <c r="O27" s="337"/>
      <c r="P27" s="337"/>
      <c r="Q27" s="331" t="s">
        <v>144</v>
      </c>
      <c r="R27" s="332"/>
      <c r="S27" s="332"/>
      <c r="T27" s="333"/>
      <c r="U27" s="129">
        <f>Calc!J3</f>
        <v>0</v>
      </c>
      <c r="V27" s="234">
        <f>Calc!J4</f>
        <v>0</v>
      </c>
      <c r="W27" s="235">
        <f>Calc!J5</f>
        <v>0</v>
      </c>
      <c r="X27" s="117">
        <f>Calc!J6</f>
        <v>0</v>
      </c>
      <c r="Y27" s="100">
        <f>Calc!J7</f>
        <v>0</v>
      </c>
      <c r="AA27" s="70"/>
      <c r="AB27" s="70"/>
      <c r="AC27" s="70"/>
      <c r="AD27" s="70"/>
      <c r="AE27" s="70"/>
      <c r="AF27" s="70"/>
      <c r="AG27" s="70"/>
      <c r="AH27" s="70"/>
      <c r="AI27" s="70"/>
      <c r="AJ27" s="70"/>
      <c r="AK27" s="70"/>
      <c r="AL27" s="70"/>
      <c r="AM27" s="70"/>
      <c r="AN27" s="70"/>
      <c r="AO27" s="70"/>
      <c r="AP27" s="70"/>
      <c r="AQ27" s="70"/>
      <c r="AR27" s="70"/>
    </row>
    <row r="28" spans="2:44" ht="15" customHeight="1" x14ac:dyDescent="0.25">
      <c r="H28" s="2"/>
      <c r="I28" s="2"/>
      <c r="K28" s="103"/>
      <c r="L28" s="336"/>
      <c r="M28" s="337"/>
      <c r="N28" s="337"/>
      <c r="O28" s="337"/>
      <c r="P28" s="337"/>
      <c r="Q28" s="331" t="s">
        <v>591</v>
      </c>
      <c r="R28" s="332"/>
      <c r="S28" s="332"/>
      <c r="T28" s="333"/>
      <c r="U28" s="129">
        <f>Calc!K3</f>
        <v>0</v>
      </c>
      <c r="V28" s="234">
        <f>Calc!K4</f>
        <v>0</v>
      </c>
      <c r="W28" s="235">
        <f>Calc!K5</f>
        <v>0</v>
      </c>
      <c r="X28" s="117">
        <f>Calc!K6</f>
        <v>0</v>
      </c>
      <c r="Y28" s="100">
        <f>Calc!K7</f>
        <v>0</v>
      </c>
      <c r="AA28" s="70"/>
      <c r="AB28" s="70"/>
      <c r="AC28" s="70"/>
      <c r="AD28" s="70"/>
      <c r="AE28" s="70"/>
      <c r="AF28" s="70"/>
      <c r="AG28" s="70"/>
      <c r="AH28" s="70"/>
      <c r="AI28" s="70"/>
      <c r="AJ28" s="70"/>
      <c r="AK28" s="70"/>
      <c r="AL28" s="70"/>
      <c r="AM28" s="70"/>
      <c r="AN28" s="70"/>
      <c r="AO28" s="70"/>
      <c r="AP28" s="70"/>
      <c r="AQ28" s="70"/>
      <c r="AR28" s="70"/>
    </row>
    <row r="29" spans="2:44" x14ac:dyDescent="0.25">
      <c r="K29" s="103"/>
      <c r="L29" s="336"/>
      <c r="M29" s="337"/>
      <c r="N29" s="337"/>
      <c r="O29" s="337"/>
      <c r="P29" s="337"/>
      <c r="Q29" s="331" t="s">
        <v>335</v>
      </c>
      <c r="R29" s="332"/>
      <c r="S29" s="332"/>
      <c r="T29" s="333"/>
      <c r="U29" s="129">
        <f>Calc!L3</f>
        <v>0</v>
      </c>
      <c r="V29" s="234">
        <f>Calc!L4</f>
        <v>0</v>
      </c>
      <c r="W29" s="235">
        <f>Calc!L5</f>
        <v>0</v>
      </c>
      <c r="X29" s="117">
        <f>Calc!L6</f>
        <v>0</v>
      </c>
      <c r="Y29" s="100">
        <f>Calc!L7</f>
        <v>0</v>
      </c>
      <c r="AA29" s="70"/>
      <c r="AB29" s="70"/>
    </row>
    <row r="30" spans="2:44" x14ac:dyDescent="0.25">
      <c r="K30" s="103"/>
      <c r="L30" s="336"/>
      <c r="M30" s="337"/>
      <c r="N30" s="337"/>
      <c r="O30" s="337"/>
      <c r="P30" s="337"/>
      <c r="Q30" s="331" t="s">
        <v>146</v>
      </c>
      <c r="R30" s="332"/>
      <c r="S30" s="332"/>
      <c r="T30" s="333"/>
      <c r="U30" s="129">
        <f>Calc!M3</f>
        <v>0</v>
      </c>
      <c r="V30" s="234">
        <f>Calc!M4</f>
        <v>0</v>
      </c>
      <c r="W30" s="235">
        <f>Calc!M5</f>
        <v>0</v>
      </c>
      <c r="X30" s="117">
        <f>Calc!M6</f>
        <v>0</v>
      </c>
      <c r="Y30" s="100">
        <f>Calc!M7</f>
        <v>0</v>
      </c>
      <c r="AA30" s="70"/>
      <c r="AB30" s="70"/>
    </row>
    <row r="31" spans="2:44" x14ac:dyDescent="0.25">
      <c r="K31" s="103"/>
      <c r="L31" s="336"/>
      <c r="M31" s="337"/>
      <c r="N31" s="337"/>
      <c r="O31" s="337"/>
      <c r="P31" s="337"/>
      <c r="Q31" s="331" t="s">
        <v>320</v>
      </c>
      <c r="R31" s="332"/>
      <c r="S31" s="332"/>
      <c r="T31" s="333"/>
      <c r="U31" s="129">
        <f>Calc!N3</f>
        <v>0</v>
      </c>
      <c r="V31" s="234">
        <f>Calc!N4</f>
        <v>0</v>
      </c>
      <c r="W31" s="235">
        <f>Calc!N5</f>
        <v>0</v>
      </c>
      <c r="X31" s="117">
        <f>Calc!N6</f>
        <v>0</v>
      </c>
      <c r="Y31" s="100">
        <f>Calc!N7</f>
        <v>0</v>
      </c>
    </row>
    <row r="32" spans="2:44" ht="15.75" thickBot="1" x14ac:dyDescent="0.3">
      <c r="K32" s="232"/>
      <c r="L32" s="338"/>
      <c r="M32" s="339"/>
      <c r="N32" s="339"/>
      <c r="O32" s="339"/>
      <c r="P32" s="339"/>
      <c r="Q32" s="340" t="s">
        <v>724</v>
      </c>
      <c r="R32" s="341"/>
      <c r="S32" s="341"/>
      <c r="T32" s="342"/>
      <c r="U32" s="130">
        <f>Calc!O3</f>
        <v>0</v>
      </c>
      <c r="V32" s="101">
        <f>Calc!O4</f>
        <v>0</v>
      </c>
      <c r="W32" s="102">
        <f>Calc!O5</f>
        <v>0</v>
      </c>
      <c r="X32" s="118">
        <f>Calc!O6</f>
        <v>0</v>
      </c>
      <c r="Y32" s="19">
        <f>Calc!O7</f>
        <v>0</v>
      </c>
    </row>
    <row r="33" spans="11:25" ht="15" customHeight="1" x14ac:dyDescent="0.25">
      <c r="L33" s="334" t="s">
        <v>818</v>
      </c>
      <c r="M33" s="335"/>
      <c r="N33" s="335"/>
      <c r="O33" s="335"/>
      <c r="P33" s="350"/>
      <c r="Q33" s="346" t="s">
        <v>625</v>
      </c>
      <c r="R33" s="347"/>
      <c r="S33" s="347"/>
      <c r="T33" s="348"/>
      <c r="U33" s="125">
        <f ca="1">Calc!C3</f>
        <v>0</v>
      </c>
      <c r="V33" s="121">
        <f ca="1">Calc!C4</f>
        <v>0</v>
      </c>
      <c r="W33" s="122">
        <f ca="1">Calc!C5</f>
        <v>0</v>
      </c>
      <c r="X33" s="123">
        <f ca="1">Calc!C6</f>
        <v>0</v>
      </c>
      <c r="Y33" s="124">
        <f ca="1">Calc!C7</f>
        <v>0</v>
      </c>
    </row>
    <row r="34" spans="11:25" x14ac:dyDescent="0.25">
      <c r="L34" s="336"/>
      <c r="M34" s="337"/>
      <c r="N34" s="337"/>
      <c r="O34" s="337"/>
      <c r="P34" s="351"/>
      <c r="Q34" s="331" t="s">
        <v>626</v>
      </c>
      <c r="R34" s="332"/>
      <c r="S34" s="332"/>
      <c r="T34" s="333"/>
      <c r="U34" s="126">
        <f ca="1">Calc!D3</f>
        <v>0</v>
      </c>
      <c r="V34" s="234">
        <f ca="1">Calc!D4</f>
        <v>0</v>
      </c>
      <c r="W34" s="235">
        <f ca="1">Calc!D5</f>
        <v>0</v>
      </c>
      <c r="X34" s="114">
        <f ca="1">Calc!D6</f>
        <v>0</v>
      </c>
      <c r="Y34" s="100">
        <f ca="1">Calc!D7</f>
        <v>0</v>
      </c>
    </row>
    <row r="35" spans="11:25" x14ac:dyDescent="0.25">
      <c r="L35" s="336"/>
      <c r="M35" s="337"/>
      <c r="N35" s="337"/>
      <c r="O35" s="337"/>
      <c r="P35" s="351"/>
      <c r="Q35" s="331" t="s">
        <v>627</v>
      </c>
      <c r="R35" s="332"/>
      <c r="S35" s="332"/>
      <c r="T35" s="333"/>
      <c r="U35" s="126">
        <f ca="1">Calc!E3</f>
        <v>0</v>
      </c>
      <c r="V35" s="234">
        <f ca="1">Calc!E4</f>
        <v>0</v>
      </c>
      <c r="W35" s="235">
        <f ca="1">Calc!E5</f>
        <v>0</v>
      </c>
      <c r="X35" s="114">
        <f ca="1">Calc!E6</f>
        <v>0</v>
      </c>
      <c r="Y35" s="100">
        <f ca="1">Calc!E7</f>
        <v>0</v>
      </c>
    </row>
    <row r="36" spans="11:25" ht="15.75" customHeight="1" thickBot="1" x14ac:dyDescent="0.3">
      <c r="L36" s="338"/>
      <c r="M36" s="339"/>
      <c r="N36" s="339"/>
      <c r="O36" s="339"/>
      <c r="P36" s="352"/>
      <c r="Q36" s="340" t="s">
        <v>628</v>
      </c>
      <c r="R36" s="341"/>
      <c r="S36" s="341"/>
      <c r="T36" s="342"/>
      <c r="U36" s="127">
        <f ca="1">Calc!F3</f>
        <v>0</v>
      </c>
      <c r="V36" s="101">
        <f ca="1">Calc!F4</f>
        <v>0</v>
      </c>
      <c r="W36" s="102">
        <f ca="1">Calc!F5</f>
        <v>0</v>
      </c>
      <c r="X36" s="115">
        <f ca="1">Calc!F6</f>
        <v>0</v>
      </c>
      <c r="Y36" s="19">
        <f ca="1">Calc!F7</f>
        <v>0</v>
      </c>
    </row>
    <row r="37" spans="11:25" ht="15" customHeight="1" x14ac:dyDescent="0.25">
      <c r="K37" s="103"/>
    </row>
    <row r="38" spans="11:25" x14ac:dyDescent="0.25">
      <c r="K38" s="103"/>
    </row>
    <row r="39" spans="11:25" ht="15" customHeight="1" x14ac:dyDescent="0.25">
      <c r="K39" s="103"/>
    </row>
    <row r="40" spans="11:25" x14ac:dyDescent="0.25">
      <c r="K40" s="103"/>
    </row>
    <row r="41" spans="11:25" x14ac:dyDescent="0.25">
      <c r="K41" s="103"/>
    </row>
    <row r="54" spans="8:9" x14ac:dyDescent="0.25">
      <c r="H54" s="2"/>
      <c r="I54" s="2"/>
    </row>
  </sheetData>
  <sheetProtection formatCells="0" formatColumns="0" formatRows="0" insertHyperlinks="0"/>
  <mergeCells count="46">
    <mergeCell ref="V19:V23"/>
    <mergeCell ref="Q29:T29"/>
    <mergeCell ref="Q30:T30"/>
    <mergeCell ref="Q27:T27"/>
    <mergeCell ref="Q28:T28"/>
    <mergeCell ref="Q33:T33"/>
    <mergeCell ref="Q34:T34"/>
    <mergeCell ref="Q35:T35"/>
    <mergeCell ref="Q36:T36"/>
    <mergeCell ref="L19:S21"/>
    <mergeCell ref="L33:P36"/>
    <mergeCell ref="W19:W23"/>
    <mergeCell ref="Y19:Y23"/>
    <mergeCell ref="X19:X23"/>
    <mergeCell ref="C27:D27"/>
    <mergeCell ref="C26:D26"/>
    <mergeCell ref="C22:D22"/>
    <mergeCell ref="C23:D23"/>
    <mergeCell ref="C24:D24"/>
    <mergeCell ref="C25:D25"/>
    <mergeCell ref="Q24:T24"/>
    <mergeCell ref="Q25:T25"/>
    <mergeCell ref="Q26:T26"/>
    <mergeCell ref="L24:P32"/>
    <mergeCell ref="Q32:T32"/>
    <mergeCell ref="Q31:T31"/>
    <mergeCell ref="U19:U23"/>
    <mergeCell ref="B1:AA1"/>
    <mergeCell ref="J3:Q3"/>
    <mergeCell ref="J4:Q4"/>
    <mergeCell ref="J5:Q5"/>
    <mergeCell ref="F3:I3"/>
    <mergeCell ref="F4:I4"/>
    <mergeCell ref="F5:I5"/>
    <mergeCell ref="I11:J11"/>
    <mergeCell ref="F11:H11"/>
    <mergeCell ref="Q8:AA11"/>
    <mergeCell ref="K14:AA14"/>
    <mergeCell ref="K15:AA16"/>
    <mergeCell ref="F8:H8"/>
    <mergeCell ref="F9:H9"/>
    <mergeCell ref="F10:H10"/>
    <mergeCell ref="I8:J8"/>
    <mergeCell ref="I9:J9"/>
    <mergeCell ref="I10:J10"/>
    <mergeCell ref="K8:K11"/>
  </mergeCells>
  <conditionalFormatting sqref="U24:Y36">
    <cfRule type="cellIs" dxfId="70" priority="10" operator="equal">
      <formula>0</formula>
    </cfRule>
  </conditionalFormatting>
  <conditionalFormatting sqref="Q24:T31 Q33:T36 Q32">
    <cfRule type="expression" dxfId="69" priority="752" stopIfTrue="1">
      <formula>$Y24&gt;0</formula>
    </cfRule>
    <cfRule type="expression" dxfId="68" priority="753" stopIfTrue="1">
      <formula>$U24&gt;0</formula>
    </cfRule>
    <cfRule type="expression" dxfId="67" priority="754" stopIfTrue="1">
      <formula>$V24&gt;0</formula>
    </cfRule>
    <cfRule type="expression" dxfId="66" priority="755" stopIfTrue="1">
      <formula>$W24&gt;0</formula>
    </cfRule>
    <cfRule type="expression" dxfId="65" priority="756" stopIfTrue="1">
      <formula>$X24&gt;0</formula>
    </cfRule>
  </conditionalFormatting>
  <conditionalFormatting sqref="L19">
    <cfRule type="expression" dxfId="64" priority="770" stopIfTrue="1">
      <formula>$W$24&gt;0</formula>
    </cfRule>
    <cfRule type="expression" dxfId="63" priority="771" stopIfTrue="1">
      <formula>$X$24&gt;0</formula>
    </cfRule>
  </conditionalFormatting>
  <conditionalFormatting sqref="L19:S21">
    <cfRule type="expression" dxfId="62" priority="1">
      <formula>OR($U$24&gt;0,$V$24&gt;0,$Y$24&gt;0)</formula>
    </cfRule>
  </conditionalFormatting>
  <dataValidations count="4">
    <dataValidation type="list" allowBlank="1" showInputMessage="1" showErrorMessage="1" sqref="H12:I12" xr:uid="{00000000-0002-0000-0100-000000000000}">
      <formula1>Data_privacy</formula1>
    </dataValidation>
    <dataValidation type="list" allowBlank="1" showInputMessage="1" showErrorMessage="1" sqref="I10" xr:uid="{00000000-0002-0000-0100-000001000000}">
      <formula1>RTO</formula1>
    </dataValidation>
    <dataValidation type="list" allowBlank="1" showInputMessage="1" showErrorMessage="1" sqref="I8:J8" xr:uid="{00000000-0002-0000-0100-000002000000}">
      <formula1>DP_Risk_Level</formula1>
    </dataValidation>
    <dataValidation type="list" allowBlank="1" showInputMessage="1" showErrorMessage="1" sqref="I11:J11" xr:uid="{3C084DF8-1E9A-48E3-ABAD-50563F63AE42}">
      <formula1>Yes_No</formula1>
    </dataValidation>
  </dataValidations>
  <hyperlinks>
    <hyperlink ref="F9:G9" r:id="rId1" display="DICT" xr:uid="{AE567EDD-9F8A-40EC-A8F8-38952E9B7CB8}"/>
    <hyperlink ref="F10:G10" r:id="rId2" display="RTO" xr:uid="{1C8F33F0-8A39-4733-8EBC-F5FEB2CCAA1F}"/>
    <hyperlink ref="F8:G8" r:id="rId3" display="Data privacy" xr:uid="{566FB67E-A2E1-420F-9B72-B25EC0EBF090}"/>
    <hyperlink ref="F8:H8" r:id="rId4" display="Data privacy risk level" xr:uid="{E3167C84-0297-4CE1-BCE7-20BE075813BB}"/>
    <hyperlink ref="F11:H11" r:id="rId5" display="SOX" xr:uid="{01A2F037-6D7A-4E58-B255-A7984AB73D4B}"/>
    <hyperlink ref="F9:H9" r:id="rId6" display="DICT" xr:uid="{5CA84F81-F207-44FC-B8B3-ED96DF4E53CD}"/>
    <hyperlink ref="F10:H10" r:id="rId7" display="RTO" xr:uid="{899408B2-D7DF-4A1F-A55E-36346111540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RequirementsFilter">
                <anchor moveWithCells="1" sizeWithCells="1">
                  <from>
                    <xdr:col>10</xdr:col>
                    <xdr:colOff>447675</xdr:colOff>
                    <xdr:row>7</xdr:row>
                    <xdr:rowOff>171450</xdr:rowOff>
                  </from>
                  <to>
                    <xdr:col>14</xdr:col>
                    <xdr:colOff>276225</xdr:colOff>
                    <xdr:row>10</xdr:row>
                    <xdr:rowOff>19050</xdr:rowOff>
                  </to>
                </anchor>
              </controlPr>
            </control>
          </mc:Choice>
        </mc:AlternateContent>
        <mc:AlternateContent xmlns:mc="http://schemas.openxmlformats.org/markup-compatibility/2006">
          <mc:Choice Requires="x14">
            <control shapeId="3074" r:id="rId12" name="Check Box 2">
              <controlPr defaultSize="0" autoFill="0" autoLine="0" autoPict="0" macro="[0]!ShowHideRequirements">
                <anchor moveWithCells="1">
                  <from>
                    <xdr:col>4</xdr:col>
                    <xdr:colOff>400050</xdr:colOff>
                    <xdr:row>12</xdr:row>
                    <xdr:rowOff>161925</xdr:rowOff>
                  </from>
                  <to>
                    <xdr:col>8</xdr:col>
                    <xdr:colOff>457200</xdr:colOff>
                    <xdr:row>14</xdr:row>
                    <xdr:rowOff>28575</xdr:rowOff>
                  </to>
                </anchor>
              </controlPr>
            </control>
          </mc:Choice>
        </mc:AlternateContent>
        <mc:AlternateContent xmlns:mc="http://schemas.openxmlformats.org/markup-compatibility/2006">
          <mc:Choice Requires="x14">
            <control shapeId="3076" r:id="rId13" name="Button 4">
              <controlPr defaultSize="0" print="0" autoFill="0" autoPict="0" macro="[0]!ResetFilter">
                <anchor moveWithCells="1" sizeWithCells="1">
                  <from>
                    <xdr:col>14</xdr:col>
                    <xdr:colOff>342900</xdr:colOff>
                    <xdr:row>7</xdr:row>
                    <xdr:rowOff>171450</xdr:rowOff>
                  </from>
                  <to>
                    <xdr:col>15</xdr:col>
                    <xdr:colOff>342900</xdr:colOff>
                    <xdr:row>10</xdr:row>
                    <xdr:rowOff>19050</xdr:rowOff>
                  </to>
                </anchor>
              </controlPr>
            </control>
          </mc:Choice>
        </mc:AlternateContent>
        <mc:AlternateContent xmlns:mc="http://schemas.openxmlformats.org/markup-compatibility/2006">
          <mc:Choice Requires="x14">
            <control shapeId="3086" r:id="rId14" name="Check Box 14">
              <controlPr defaultSize="0" autoFill="0" autoLine="0" autoPict="0">
                <anchor moveWithCells="1">
                  <from>
                    <xdr:col>10</xdr:col>
                    <xdr:colOff>400050</xdr:colOff>
                    <xdr:row>10</xdr:row>
                    <xdr:rowOff>66675</xdr:rowOff>
                  </from>
                  <to>
                    <xdr:col>15</xdr:col>
                    <xdr:colOff>333375</xdr:colOff>
                    <xdr:row>10</xdr:row>
                    <xdr:rowOff>190500</xdr:rowOff>
                  </to>
                </anchor>
              </controlPr>
            </control>
          </mc:Choice>
        </mc:AlternateContent>
        <mc:AlternateContent xmlns:mc="http://schemas.openxmlformats.org/markup-compatibility/2006">
          <mc:Choice Requires="x14">
            <control shapeId="3090" r:id="rId15" name="Check Box 18">
              <controlPr defaultSize="0" autoFill="0" autoLine="0" autoPict="0" macro="[0]!ShowHideRequirements">
                <anchor moveWithCells="1">
                  <from>
                    <xdr:col>4</xdr:col>
                    <xdr:colOff>400050</xdr:colOff>
                    <xdr:row>14</xdr:row>
                    <xdr:rowOff>38100</xdr:rowOff>
                  </from>
                  <to>
                    <xdr:col>8</xdr:col>
                    <xdr:colOff>457200</xdr:colOff>
                    <xdr:row>14</xdr:row>
                    <xdr:rowOff>180975</xdr:rowOff>
                  </to>
                </anchor>
              </controlPr>
            </control>
          </mc:Choice>
        </mc:AlternateContent>
        <mc:AlternateContent xmlns:mc="http://schemas.openxmlformats.org/markup-compatibility/2006">
          <mc:Choice Requires="x14">
            <control shapeId="3091" r:id="rId16" name="Check Box 19">
              <controlPr defaultSize="0" autoFill="0" autoLine="0" autoPict="0" macro="[0]!ShowHideRequirements">
                <anchor moveWithCells="1">
                  <from>
                    <xdr:col>4</xdr:col>
                    <xdr:colOff>400050</xdr:colOff>
                    <xdr:row>14</xdr:row>
                    <xdr:rowOff>171450</xdr:rowOff>
                  </from>
                  <to>
                    <xdr:col>9</xdr:col>
                    <xdr:colOff>409575</xdr:colOff>
                    <xdr:row>15</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filterMode="1">
    <outlinePr summaryBelow="0" summaryRight="0"/>
  </sheetPr>
  <dimension ref="A1:CF236"/>
  <sheetViews>
    <sheetView zoomScaleNormal="100" workbookViewId="0">
      <pane xSplit="3" ySplit="3" topLeftCell="D4" activePane="bottomRight" state="frozen"/>
      <selection pane="topRight" activeCell="D1" sqref="D1"/>
      <selection pane="bottomLeft" activeCell="A4" sqref="A4"/>
      <selection pane="bottomRight" activeCell="D4" sqref="D4"/>
    </sheetView>
  </sheetViews>
  <sheetFormatPr defaultColWidth="11.42578125" defaultRowHeight="15" x14ac:dyDescent="0.25"/>
  <cols>
    <col min="1" max="1" width="2.85546875" style="10" customWidth="1"/>
    <col min="2" max="2" width="10" customWidth="1"/>
    <col min="3" max="3" width="39.140625" customWidth="1"/>
    <col min="4" max="4" width="31.7109375" customWidth="1"/>
    <col min="5" max="5" width="42.85546875" customWidth="1"/>
    <col min="6" max="7" width="24.28515625" customWidth="1"/>
    <col min="8" max="11" width="11.42578125" customWidth="1"/>
    <col min="12" max="12" width="29.28515625" customWidth="1"/>
    <col min="13" max="13" width="11.5703125" style="14" customWidth="1"/>
    <col min="14" max="14" width="11.42578125" style="14" customWidth="1"/>
    <col min="15" max="16" width="11.42578125" customWidth="1"/>
    <col min="17" max="17" width="11.5703125" customWidth="1"/>
    <col min="18" max="20" width="11.42578125" customWidth="1"/>
    <col min="21" max="22" width="14.28515625" customWidth="1"/>
    <col min="23" max="38" width="2.85546875" customWidth="1"/>
    <col min="39" max="39" width="6.7109375" customWidth="1"/>
    <col min="40" max="41" width="7.140625" customWidth="1"/>
    <col min="42" max="43" width="2.85546875" customWidth="1"/>
    <col min="44" max="44" width="4.28515625" customWidth="1"/>
    <col min="45" max="57" width="14.28515625" style="9" hidden="1" customWidth="1"/>
    <col min="58" max="58" width="11.42578125" style="9" customWidth="1"/>
  </cols>
  <sheetData>
    <row r="1" spans="1:84" ht="15" customHeight="1" x14ac:dyDescent="0.25">
      <c r="A1" s="53"/>
      <c r="B1" s="274" t="s">
        <v>796</v>
      </c>
      <c r="C1" s="274"/>
      <c r="D1" s="21" t="s">
        <v>796</v>
      </c>
      <c r="E1" s="30" t="s">
        <v>796</v>
      </c>
      <c r="F1" s="15"/>
      <c r="G1" s="81"/>
      <c r="H1" s="30"/>
      <c r="I1" s="31"/>
      <c r="J1" s="30"/>
      <c r="K1" s="31"/>
      <c r="L1" s="15"/>
      <c r="M1" s="363"/>
      <c r="N1" s="363"/>
      <c r="O1" s="363"/>
      <c r="P1" s="363"/>
      <c r="Q1" s="363"/>
      <c r="R1" s="364"/>
      <c r="S1" s="364"/>
      <c r="T1" s="364"/>
      <c r="U1" s="15"/>
      <c r="V1" s="15"/>
      <c r="W1" s="15"/>
      <c r="X1" s="15"/>
      <c r="Y1" s="15"/>
      <c r="Z1" s="15"/>
      <c r="AA1" s="15"/>
      <c r="AB1" s="15"/>
      <c r="AC1" s="15"/>
      <c r="AD1" s="15"/>
      <c r="AE1" s="15"/>
      <c r="AF1" s="15"/>
      <c r="AG1" s="15"/>
      <c r="AH1" s="15"/>
      <c r="AI1" s="15"/>
      <c r="AJ1" s="15"/>
      <c r="AK1" s="15"/>
      <c r="AL1" s="15"/>
      <c r="AM1" s="15"/>
      <c r="AN1" s="33"/>
      <c r="AO1" s="33"/>
      <c r="AP1" s="15"/>
      <c r="AQ1" s="15"/>
      <c r="AR1" s="1"/>
      <c r="AS1" s="89" t="s">
        <v>625</v>
      </c>
      <c r="AT1" s="90" t="s">
        <v>626</v>
      </c>
      <c r="AU1" s="90" t="s">
        <v>627</v>
      </c>
      <c r="AV1" s="104" t="s">
        <v>628</v>
      </c>
      <c r="AW1" s="359" t="s">
        <v>11</v>
      </c>
      <c r="AX1" s="368" t="s">
        <v>127</v>
      </c>
      <c r="AY1" s="368" t="s">
        <v>145</v>
      </c>
      <c r="AZ1" s="368" t="s">
        <v>144</v>
      </c>
      <c r="BA1" s="368" t="s">
        <v>591</v>
      </c>
      <c r="BB1" s="368" t="s">
        <v>335</v>
      </c>
      <c r="BC1" s="368" t="s">
        <v>146</v>
      </c>
      <c r="BD1" s="368" t="s">
        <v>320</v>
      </c>
      <c r="BE1" s="366" t="s">
        <v>724</v>
      </c>
      <c r="BF1" s="1"/>
      <c r="BG1" s="1"/>
      <c r="BH1" s="1"/>
      <c r="BI1" s="1"/>
      <c r="BJ1" s="1"/>
      <c r="BK1" s="1"/>
      <c r="BL1" s="1"/>
      <c r="BM1" s="1"/>
      <c r="BN1" s="1"/>
      <c r="BO1" s="1"/>
      <c r="BP1" s="1"/>
      <c r="BQ1" s="1"/>
      <c r="BR1" s="1"/>
      <c r="BS1" s="1"/>
      <c r="BT1" s="1"/>
      <c r="BU1" s="1"/>
      <c r="BV1" s="1"/>
      <c r="BW1" s="1"/>
      <c r="BX1" s="1"/>
      <c r="BY1" s="1"/>
      <c r="BZ1" s="1"/>
      <c r="CA1" s="1"/>
      <c r="CB1" s="1"/>
      <c r="CC1" s="1"/>
      <c r="CD1" s="1"/>
      <c r="CE1" s="1"/>
      <c r="CF1" s="1"/>
    </row>
    <row r="2" spans="1:84" ht="15.75" customHeight="1" thickBot="1" x14ac:dyDescent="0.3">
      <c r="A2" s="2"/>
      <c r="B2" s="358" t="s">
        <v>8</v>
      </c>
      <c r="C2" s="358"/>
      <c r="D2" s="358"/>
      <c r="E2" s="358"/>
      <c r="F2" s="358"/>
      <c r="G2" s="358"/>
      <c r="H2" s="365" t="s">
        <v>525</v>
      </c>
      <c r="I2" s="365"/>
      <c r="J2" s="365"/>
      <c r="K2" s="365"/>
      <c r="L2" s="365"/>
      <c r="M2" s="362" t="s">
        <v>52</v>
      </c>
      <c r="N2" s="362"/>
      <c r="O2" s="362"/>
      <c r="P2" s="362"/>
      <c r="Q2" s="357" t="s">
        <v>269</v>
      </c>
      <c r="R2" s="357"/>
      <c r="S2" s="357"/>
      <c r="T2" s="357"/>
      <c r="U2" s="361" t="s">
        <v>524</v>
      </c>
      <c r="V2" s="361"/>
      <c r="W2" s="356" t="s">
        <v>699</v>
      </c>
      <c r="X2" s="356"/>
      <c r="Y2" s="356"/>
      <c r="Z2" s="356"/>
      <c r="AA2" s="356"/>
      <c r="AB2" s="356"/>
      <c r="AC2" s="356"/>
      <c r="AD2" s="356"/>
      <c r="AE2" s="356"/>
      <c r="AF2" s="356"/>
      <c r="AG2" s="356"/>
      <c r="AH2" s="356"/>
      <c r="AI2" s="356"/>
      <c r="AJ2" s="356"/>
      <c r="AK2" s="356"/>
      <c r="AL2" s="356"/>
      <c r="AM2" s="356"/>
      <c r="AN2" s="356"/>
      <c r="AO2" s="356"/>
      <c r="AP2" s="356"/>
      <c r="AQ2" s="356"/>
      <c r="AR2" s="2"/>
      <c r="AS2" s="94" t="str">
        <f>MID(Synthesis!I9,1,1)</f>
        <v>2</v>
      </c>
      <c r="AT2" s="95" t="str">
        <f>MID(Synthesis!I9,2,1)</f>
        <v>2</v>
      </c>
      <c r="AU2" s="95" t="str">
        <f>MID(Synthesis!I9,3,1)</f>
        <v>2</v>
      </c>
      <c r="AV2" s="105" t="str">
        <f>MID(Synthesis!I9,4,1)</f>
        <v>2</v>
      </c>
      <c r="AW2" s="360"/>
      <c r="AX2" s="369"/>
      <c r="AY2" s="369"/>
      <c r="AZ2" s="369"/>
      <c r="BA2" s="369"/>
      <c r="BB2" s="369"/>
      <c r="BC2" s="369"/>
      <c r="BD2" s="369"/>
      <c r="BE2" s="367"/>
      <c r="BF2" s="1"/>
      <c r="BG2" s="1"/>
      <c r="BH2" s="1"/>
      <c r="BI2" s="1"/>
      <c r="BJ2" s="1"/>
      <c r="BK2" s="1"/>
      <c r="BL2" s="1"/>
      <c r="BM2" s="1"/>
      <c r="BN2" s="1"/>
      <c r="BO2" s="1"/>
      <c r="BP2" s="1"/>
      <c r="BQ2" s="1"/>
      <c r="BR2" s="1"/>
      <c r="BS2" s="1"/>
      <c r="BT2" s="1"/>
      <c r="BU2" s="1"/>
      <c r="BV2" s="1"/>
      <c r="BW2" s="1"/>
      <c r="BX2" s="1"/>
      <c r="BY2" s="1"/>
      <c r="BZ2" s="1"/>
      <c r="CA2" s="1"/>
      <c r="CB2" s="1"/>
      <c r="CC2" s="1"/>
      <c r="CD2" s="1"/>
      <c r="CE2" s="1"/>
      <c r="CF2" s="1"/>
    </row>
    <row r="3" spans="1:84" ht="30.75" x14ac:dyDescent="0.25">
      <c r="A3" s="2"/>
      <c r="B3" s="174" t="s">
        <v>2</v>
      </c>
      <c r="C3" s="174" t="s">
        <v>3</v>
      </c>
      <c r="D3" s="174" t="s">
        <v>526</v>
      </c>
      <c r="E3" s="174" t="s">
        <v>527</v>
      </c>
      <c r="F3" s="174" t="s">
        <v>34</v>
      </c>
      <c r="G3" s="174" t="s">
        <v>261</v>
      </c>
      <c r="H3" s="175" t="s">
        <v>134</v>
      </c>
      <c r="I3" s="175" t="s">
        <v>4</v>
      </c>
      <c r="J3" s="176" t="s">
        <v>459</v>
      </c>
      <c r="K3" s="176" t="s">
        <v>460</v>
      </c>
      <c r="L3" s="175" t="s">
        <v>522</v>
      </c>
      <c r="M3" s="177" t="s">
        <v>119</v>
      </c>
      <c r="N3" s="177" t="s">
        <v>15</v>
      </c>
      <c r="O3" s="177" t="s">
        <v>5</v>
      </c>
      <c r="P3" s="177" t="s">
        <v>6</v>
      </c>
      <c r="Q3" s="178" t="s">
        <v>119</v>
      </c>
      <c r="R3" s="178" t="s">
        <v>15</v>
      </c>
      <c r="S3" s="178" t="s">
        <v>106</v>
      </c>
      <c r="T3" s="178" t="s">
        <v>14</v>
      </c>
      <c r="U3" s="179" t="s">
        <v>122</v>
      </c>
      <c r="V3" s="179" t="s">
        <v>118</v>
      </c>
      <c r="W3" s="180" t="s">
        <v>17</v>
      </c>
      <c r="X3" s="180" t="s">
        <v>20</v>
      </c>
      <c r="Y3" s="180" t="s">
        <v>19</v>
      </c>
      <c r="Z3" s="180" t="s">
        <v>18</v>
      </c>
      <c r="AA3" s="180" t="s">
        <v>21</v>
      </c>
      <c r="AB3" s="180" t="s">
        <v>22</v>
      </c>
      <c r="AC3" s="180" t="s">
        <v>23</v>
      </c>
      <c r="AD3" s="180" t="s">
        <v>24</v>
      </c>
      <c r="AE3" s="180" t="s">
        <v>25</v>
      </c>
      <c r="AF3" s="180" t="s">
        <v>26</v>
      </c>
      <c r="AG3" s="180" t="s">
        <v>27</v>
      </c>
      <c r="AH3" s="180" t="s">
        <v>28</v>
      </c>
      <c r="AI3" s="180" t="s">
        <v>29</v>
      </c>
      <c r="AJ3" s="180" t="s">
        <v>30</v>
      </c>
      <c r="AK3" s="180" t="s">
        <v>31</v>
      </c>
      <c r="AL3" s="180" t="s">
        <v>32</v>
      </c>
      <c r="AM3" s="180" t="s">
        <v>332</v>
      </c>
      <c r="AN3" s="180" t="s">
        <v>127</v>
      </c>
      <c r="AO3" s="180" t="s">
        <v>724</v>
      </c>
      <c r="AP3" s="181" t="s">
        <v>0</v>
      </c>
      <c r="AQ3" s="181" t="s">
        <v>1</v>
      </c>
      <c r="AR3" s="2"/>
      <c r="AS3" s="171">
        <f ca="1">SUM(Calc!C3,Calc!C4,Calc!C5,Calc!C7)</f>
        <v>0</v>
      </c>
      <c r="AT3" s="172">
        <f ca="1">SUM(Calc!D3,Calc!D4,Calc!D5,Calc!D7)</f>
        <v>0</v>
      </c>
      <c r="AU3" s="172">
        <f ca="1">SUM(Calc!E3,Calc!E4,Calc!E5,Calc!E7)</f>
        <v>0</v>
      </c>
      <c r="AV3" s="173">
        <f ca="1">SUM(Calc!F3,Calc!F4,Calc!F5,Calc!F7)</f>
        <v>0</v>
      </c>
      <c r="AW3" s="248">
        <f>SUM(Calc!G3,Calc!G4,Calc!G5,Calc!G7)</f>
        <v>0</v>
      </c>
      <c r="AX3" s="249">
        <f>SUM(Calc!H3,Calc!H4,Calc!H5,Calc!H7)</f>
        <v>0</v>
      </c>
      <c r="AY3" s="249">
        <f>SUM(Calc!I3,Calc!I4,Calc!I5,Calc!I7)</f>
        <v>0</v>
      </c>
      <c r="AZ3" s="249">
        <f>SUM(Calc!J3,Calc!J4,Calc!J5,Calc!J7)</f>
        <v>0</v>
      </c>
      <c r="BA3" s="249">
        <f>SUM(Calc!K3,Calc!K4,Calc!K5,Calc!K7)</f>
        <v>0</v>
      </c>
      <c r="BB3" s="249">
        <f>SUM(Calc!L3,Calc!L4,Calc!L5,Calc!L7)</f>
        <v>0</v>
      </c>
      <c r="BC3" s="249">
        <f>SUM(Calc!M3,Calc!M4,Calc!M5,Calc!M7)</f>
        <v>0</v>
      </c>
      <c r="BD3" s="249">
        <f>SUM(Calc!O3,Calc!O4,Calc!O5,Calc!O7)</f>
        <v>0</v>
      </c>
      <c r="BE3" s="250">
        <f>SUM(Calc!P3,Calc!P4,Calc!P5,Calc!P7)</f>
        <v>0</v>
      </c>
      <c r="BF3" s="1"/>
      <c r="BG3" s="1"/>
      <c r="BH3" s="1"/>
      <c r="BI3" s="1"/>
      <c r="BJ3" s="1"/>
      <c r="BK3" s="1"/>
      <c r="BL3" s="1"/>
      <c r="BM3" s="1"/>
      <c r="BN3" s="1"/>
      <c r="BO3" s="1"/>
      <c r="BP3" s="1"/>
      <c r="BQ3" s="1"/>
      <c r="BR3" s="1"/>
      <c r="BS3" s="1"/>
      <c r="BT3" s="1"/>
      <c r="BU3" s="1"/>
      <c r="BV3" s="1"/>
      <c r="BW3" s="1"/>
      <c r="BX3" s="1"/>
      <c r="BY3" s="1"/>
      <c r="BZ3" s="1"/>
      <c r="CA3" s="1"/>
      <c r="CB3" s="1"/>
      <c r="CC3" s="1"/>
      <c r="CD3" s="1"/>
      <c r="CE3" s="1"/>
      <c r="CF3" s="1"/>
    </row>
    <row r="4" spans="1:84" ht="18.75" x14ac:dyDescent="0.25">
      <c r="A4" s="2"/>
      <c r="B4" s="182">
        <v>1</v>
      </c>
      <c r="C4" s="183" t="s">
        <v>10</v>
      </c>
      <c r="D4" s="184"/>
      <c r="E4" s="184"/>
      <c r="F4" s="185"/>
      <c r="G4" s="185"/>
      <c r="H4" s="185"/>
      <c r="I4" s="186"/>
      <c r="J4" s="212"/>
      <c r="K4" s="212"/>
      <c r="L4" s="187"/>
      <c r="M4" s="188"/>
      <c r="N4" s="188"/>
      <c r="O4" s="185"/>
      <c r="P4" s="185"/>
      <c r="Q4" s="185"/>
      <c r="R4" s="185"/>
      <c r="S4" s="185"/>
      <c r="T4" s="185"/>
      <c r="U4" s="184"/>
      <c r="V4" s="184"/>
      <c r="W4" s="184"/>
      <c r="X4" s="185"/>
      <c r="Y4" s="185"/>
      <c r="Z4" s="185"/>
      <c r="AA4" s="185"/>
      <c r="AB4" s="185"/>
      <c r="AC4" s="185"/>
      <c r="AD4" s="185"/>
      <c r="AE4" s="185"/>
      <c r="AF4" s="185"/>
      <c r="AG4" s="185"/>
      <c r="AH4" s="185"/>
      <c r="AI4" s="185"/>
      <c r="AJ4" s="185"/>
      <c r="AK4" s="185"/>
      <c r="AL4" s="185"/>
      <c r="AM4" s="185"/>
      <c r="AN4" s="185"/>
      <c r="AO4" s="185"/>
      <c r="AP4" s="185"/>
      <c r="AQ4" s="185"/>
      <c r="AR4" s="2"/>
      <c r="AS4" s="92" t="e">
        <f ca="1">IF(AND('NFR repository'!H4=Params!$I$3,INDIRECT("'NFR repository'!L" &amp; ROW('NFR repository'!A4) &amp; "C" &amp; TEXT(24 + $AS$2,"0"),FALSE)&lt;&gt;""),'NFR repository'!I4,0)</f>
        <v>#REF!</v>
      </c>
      <c r="AT4" s="168" t="e">
        <f ca="1">IF(AND('NFR repository'!H4=Params!$I$3,INDIRECT("'NFR repository'!L" &amp; ROW('NFR repository'!R4) &amp; "C" &amp; TEXT(28 + $AT$2,"0"),FALSE)&lt;&gt;""),'NFR repository'!I4,0)</f>
        <v>#REF!</v>
      </c>
      <c r="AU4" s="168" t="e">
        <f ca="1">IF(AND('NFR repository'!H4=Params!$I$3,INDIRECT("'NFR repository'!L" &amp; ROW('NFR repository'!R4) &amp; "C" &amp; TEXT(32 + $AU$2,"0"),FALSE)&lt;&gt;""),'NFR repository'!I4,0)</f>
        <v>#REF!</v>
      </c>
      <c r="AV4" s="233" t="e">
        <f ca="1">IF(AND('NFR repository'!H4=Params!$I$3,INDIRECT("'NFR repository'!L" &amp; ROW('NFR repository'!R4) &amp; "C" &amp; TEXT(36 + $AV$2,"0"),FALSE)&lt;&gt;""),'NFR repository'!I4,0)</f>
        <v>#REF!</v>
      </c>
      <c r="AW4" s="92">
        <f>IF(AND('NFR repository'!$H4=Params!$I$3,IFERROR(FIND(AW$1,'NFR repository'!$U4)&gt;0,FALSE)),'NFR repository'!$I4,0)</f>
        <v>0</v>
      </c>
      <c r="AX4" s="231">
        <f>IF(AND('NFR repository'!$H4=Params!$I$3,Synthesis!$I$8&lt;&gt;Params!$B$17,IFERROR(FIND(AX$1,'NFR repository'!$U4)&gt;0,FALSE)),'NFR repository'!$I4,0)</f>
        <v>0</v>
      </c>
      <c r="AY4" s="231">
        <f>IF(AND('NFR repository'!$H4=Params!$I$3,IFERROR(FIND(AY$1,'NFR repository'!$U4)&gt;0,FALSE)),'NFR repository'!$I4,0)</f>
        <v>0</v>
      </c>
      <c r="AZ4" s="231">
        <f>IF(AND('NFR repository'!$H4=Params!$I$3,IFERROR(FIND(AZ$1,'NFR repository'!$U4)&gt;0,FALSE)),'NFR repository'!$I4,0)</f>
        <v>0</v>
      </c>
      <c r="BA4" s="231">
        <f>IF(AND('NFR repository'!$H4=Params!$I$3,IFERROR(FIND(BA$1,'NFR repository'!$U4)&gt;0,FALSE)),'NFR repository'!$I4,0)</f>
        <v>0</v>
      </c>
      <c r="BB4" s="231">
        <f>IF(AND('NFR repository'!$H4=Params!$I$3,IFERROR(FIND(BB$1,'NFR repository'!$U4)&gt;0,FALSE)),'NFR repository'!$I4,0)</f>
        <v>0</v>
      </c>
      <c r="BC4" s="231">
        <f>IF(AND('NFR repository'!$H4=Params!$I$3,IFERROR(FIND(BC$1,'NFR repository'!$U4)&gt;0,FALSE)),'NFR repository'!$I4,0)</f>
        <v>0</v>
      </c>
      <c r="BD4" s="231">
        <f>IF(AND('NFR repository'!$H4=Params!$I$3,IFERROR(FIND(BD$1,'NFR repository'!$U4)&gt;0,FALSE)),'NFR repository'!$I4,0)</f>
        <v>0</v>
      </c>
      <c r="BE4" s="93">
        <f>IF(AND('NFR repository'!$H4=Params!$I$3,IFERROR(FIND(BE$1,'NFR repository'!$U4)&gt;0,FALSE)),'NFR repository'!$I4,0)</f>
        <v>0</v>
      </c>
      <c r="BF4" s="1"/>
      <c r="BG4" s="1"/>
      <c r="BH4" s="1"/>
      <c r="BI4" s="1"/>
      <c r="BJ4" s="1"/>
      <c r="BK4" s="1"/>
      <c r="BL4" s="1"/>
      <c r="BM4" s="1"/>
      <c r="BN4" s="1"/>
      <c r="BO4" s="1"/>
      <c r="BP4" s="1"/>
      <c r="BQ4" s="1"/>
      <c r="BR4" s="1"/>
      <c r="BS4" s="1"/>
      <c r="BT4" s="1"/>
      <c r="BU4" s="1"/>
      <c r="BV4" s="1"/>
      <c r="BW4" s="1"/>
      <c r="BX4" s="1"/>
      <c r="BY4" s="1"/>
      <c r="BZ4" s="1"/>
      <c r="CA4" s="1"/>
      <c r="CB4" s="1"/>
      <c r="CC4" s="1"/>
      <c r="CD4" s="1"/>
      <c r="CE4" s="1"/>
      <c r="CF4" s="1"/>
    </row>
    <row r="5" spans="1:84" ht="15.75" x14ac:dyDescent="0.25">
      <c r="A5" s="2"/>
      <c r="B5" s="52" t="s">
        <v>7</v>
      </c>
      <c r="C5" s="39" t="s">
        <v>107</v>
      </c>
      <c r="D5" s="82"/>
      <c r="E5" s="82"/>
      <c r="F5" s="4"/>
      <c r="G5" s="4"/>
      <c r="H5" s="4"/>
      <c r="I5" s="49"/>
      <c r="J5" s="213"/>
      <c r="K5" s="213"/>
      <c r="L5" s="189"/>
      <c r="M5" s="12"/>
      <c r="N5" s="12"/>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2"/>
      <c r="AS5" s="92" t="e">
        <f ca="1">IF(AND('NFR repository'!H5=Params!$I$3,INDIRECT("'NFR repository'!L" &amp; ROW('NFR repository'!A5) &amp; "C" &amp; TEXT(24 + $AS$2,"0"),FALSE)&lt;&gt;""),'NFR repository'!I5,0)</f>
        <v>#REF!</v>
      </c>
      <c r="AT5" s="168" t="e">
        <f ca="1">IF(AND('NFR repository'!H5=Params!$I$3,INDIRECT("'NFR repository'!L" &amp; ROW('NFR repository'!R5) &amp; "C" &amp; TEXT(28 + $AT$2,"0"),FALSE)&lt;&gt;""),'NFR repository'!I5,0)</f>
        <v>#REF!</v>
      </c>
      <c r="AU5" s="168" t="e">
        <f ca="1">IF(AND('NFR repository'!H5=Params!$I$3,INDIRECT("'NFR repository'!L" &amp; ROW('NFR repository'!R5) &amp; "C" &amp; TEXT(32 + $AU$2,"0"),FALSE)&lt;&gt;""),'NFR repository'!I5,0)</f>
        <v>#REF!</v>
      </c>
      <c r="AV5" s="233" t="e">
        <f ca="1">IF(AND('NFR repository'!H5=Params!$I$3,INDIRECT("'NFR repository'!L" &amp; ROW('NFR repository'!R5) &amp; "C" &amp; TEXT(36 + $AV$2,"0"),FALSE)&lt;&gt;""),'NFR repository'!I5,0)</f>
        <v>#REF!</v>
      </c>
      <c r="AW5" s="92">
        <f>IF(AND('NFR repository'!$H5=Params!$I$3,IFERROR(FIND(AW$1,'NFR repository'!$U5)&gt;0,FALSE)),'NFR repository'!$I5,0)</f>
        <v>0</v>
      </c>
      <c r="AX5" s="231">
        <f>IF(AND('NFR repository'!$H5=Params!$I$3,Synthesis!$I$8&lt;&gt;Params!$B$17,IFERROR(FIND(AX$1,'NFR repository'!$U5)&gt;0,FALSE)),'NFR repository'!$I5,0)</f>
        <v>0</v>
      </c>
      <c r="AY5" s="231">
        <f>IF(AND('NFR repository'!$H5=Params!$I$3,IFERROR(FIND(AY$1,'NFR repository'!$U5)&gt;0,FALSE)),'NFR repository'!$I5,0)</f>
        <v>0</v>
      </c>
      <c r="AZ5" s="231">
        <f>IF(AND('NFR repository'!$H5=Params!$I$3,IFERROR(FIND(AZ$1,'NFR repository'!$U5)&gt;0,FALSE)),'NFR repository'!$I5,0)</f>
        <v>0</v>
      </c>
      <c r="BA5" s="231">
        <f>IF(AND('NFR repository'!$H5=Params!$I$3,IFERROR(FIND(BA$1,'NFR repository'!$U5)&gt;0,FALSE)),'NFR repository'!$I5,0)</f>
        <v>0</v>
      </c>
      <c r="BB5" s="231">
        <f>IF(AND('NFR repository'!$H5=Params!$I$3,IFERROR(FIND(BB$1,'NFR repository'!$U5)&gt;0,FALSE)),'NFR repository'!$I5,0)</f>
        <v>0</v>
      </c>
      <c r="BC5" s="231">
        <f>IF(AND('NFR repository'!$H5=Params!$I$3,IFERROR(FIND(BC$1,'NFR repository'!$U5)&gt;0,FALSE)),'NFR repository'!$I5,0)</f>
        <v>0</v>
      </c>
      <c r="BD5" s="231">
        <f>IF(AND('NFR repository'!$H5=Params!$I$3,IFERROR(FIND(BD$1,'NFR repository'!$U5)&gt;0,FALSE)),'NFR repository'!$I5,0)</f>
        <v>0</v>
      </c>
      <c r="BE5" s="93">
        <f>IF(AND('NFR repository'!$H5=Params!$I$3,IFERROR(FIND(BE$1,'NFR repository'!$U5)&gt;0,FALSE)),'NFR repository'!$I5,0)</f>
        <v>0</v>
      </c>
      <c r="BF5" s="1"/>
      <c r="BG5" s="1"/>
      <c r="BH5" s="1"/>
      <c r="BI5" s="1"/>
      <c r="BJ5" s="1"/>
      <c r="BK5" s="1"/>
      <c r="BL5" s="1"/>
      <c r="BM5" s="1"/>
      <c r="BN5" s="1"/>
      <c r="BO5" s="1"/>
      <c r="BP5" s="1"/>
      <c r="BQ5" s="1"/>
      <c r="BR5" s="1"/>
      <c r="BS5" s="1"/>
      <c r="BT5" s="1"/>
      <c r="BU5" s="1"/>
      <c r="BV5" s="1"/>
      <c r="BW5" s="1"/>
      <c r="BX5" s="1"/>
      <c r="BY5" s="1"/>
      <c r="BZ5" s="1"/>
      <c r="CA5" s="1"/>
      <c r="CB5" s="1"/>
      <c r="CC5" s="1"/>
      <c r="CD5" s="1"/>
      <c r="CE5" s="1"/>
      <c r="CF5" s="1"/>
    </row>
    <row r="6" spans="1:84" ht="45" x14ac:dyDescent="0.25">
      <c r="A6" s="2"/>
      <c r="B6" s="190" t="s">
        <v>623</v>
      </c>
      <c r="C6" s="191" t="s">
        <v>642</v>
      </c>
      <c r="D6" s="170" t="s">
        <v>788</v>
      </c>
      <c r="E6" s="170" t="s">
        <v>640</v>
      </c>
      <c r="F6" s="169" t="s">
        <v>279</v>
      </c>
      <c r="G6" s="75" t="s">
        <v>742</v>
      </c>
      <c r="H6" s="35" t="s">
        <v>472</v>
      </c>
      <c r="I6" s="72" t="s">
        <v>41</v>
      </c>
      <c r="J6" s="214"/>
      <c r="K6" s="214"/>
      <c r="L6" s="192"/>
      <c r="M6" s="79" t="s">
        <v>558</v>
      </c>
      <c r="N6" s="79" t="s">
        <v>148</v>
      </c>
      <c r="O6" s="75" t="s">
        <v>574</v>
      </c>
      <c r="P6" s="75" t="s">
        <v>577</v>
      </c>
      <c r="Q6" s="75" t="s">
        <v>46</v>
      </c>
      <c r="R6" s="75" t="s">
        <v>46</v>
      </c>
      <c r="S6" s="169" t="s">
        <v>46</v>
      </c>
      <c r="T6" s="169" t="s">
        <v>46</v>
      </c>
      <c r="U6" s="169" t="s">
        <v>146</v>
      </c>
      <c r="V6" s="169" t="s">
        <v>146</v>
      </c>
      <c r="W6" s="73"/>
      <c r="X6" s="73"/>
      <c r="Y6" s="73"/>
      <c r="Z6" s="73"/>
      <c r="AA6" s="73"/>
      <c r="AB6" s="73"/>
      <c r="AC6" s="73"/>
      <c r="AD6" s="73"/>
      <c r="AE6" s="73"/>
      <c r="AF6" s="73"/>
      <c r="AG6" s="73"/>
      <c r="AH6" s="73"/>
      <c r="AI6" s="73"/>
      <c r="AJ6" s="73"/>
      <c r="AK6" s="73"/>
      <c r="AL6" s="73"/>
      <c r="AM6" s="73"/>
      <c r="AN6" s="73"/>
      <c r="AO6" s="73"/>
      <c r="AP6" s="73"/>
      <c r="AQ6" s="73"/>
      <c r="AR6" s="2"/>
      <c r="AS6" s="92" t="e">
        <f ca="1">IF(AND('NFR repository'!H6=Params!$I$3,INDIRECT("'NFR repository'!L" &amp; ROW('NFR repository'!A6) &amp; "C" &amp; TEXT(24 + $AS$2,"0"),FALSE)&lt;&gt;""),'NFR repository'!I6,0)</f>
        <v>#REF!</v>
      </c>
      <c r="AT6" s="168" t="e">
        <f ca="1">IF(AND('NFR repository'!H6=Params!$I$3,INDIRECT("'NFR repository'!L" &amp; ROW('NFR repository'!R6) &amp; "C" &amp; TEXT(28 + $AT$2,"0"),FALSE)&lt;&gt;""),'NFR repository'!I6,0)</f>
        <v>#REF!</v>
      </c>
      <c r="AU6" s="168" t="e">
        <f ca="1">IF(AND('NFR repository'!H6=Params!$I$3,INDIRECT("'NFR repository'!L" &amp; ROW('NFR repository'!R6) &amp; "C" &amp; TEXT(32 + $AU$2,"0"),FALSE)&lt;&gt;""),'NFR repository'!I6,0)</f>
        <v>#REF!</v>
      </c>
      <c r="AV6" s="233" t="e">
        <f ca="1">IF(AND('NFR repository'!H6=Params!$I$3,INDIRECT("'NFR repository'!L" &amp; ROW('NFR repository'!R6) &amp; "C" &amp; TEXT(36 + $AV$2,"0"),FALSE)&lt;&gt;""),'NFR repository'!I6,0)</f>
        <v>#REF!</v>
      </c>
      <c r="AW6" s="92">
        <f>IF(AND('NFR repository'!$H6=Params!$I$3,IFERROR(FIND(AW$1,'NFR repository'!$U6)&gt;0,FALSE)),'NFR repository'!$I6,0)</f>
        <v>0</v>
      </c>
      <c r="AX6" s="231">
        <f>IF(AND('NFR repository'!$H6=Params!$I$3,Synthesis!$I$8&lt;&gt;Params!$B$17,IFERROR(FIND(AX$1,'NFR repository'!$U6)&gt;0,FALSE)),'NFR repository'!$I6,0)</f>
        <v>0</v>
      </c>
      <c r="AY6" s="231">
        <f>IF(AND('NFR repository'!$H6=Params!$I$3,IFERROR(FIND(AY$1,'NFR repository'!$U6)&gt;0,FALSE)),'NFR repository'!$I6,0)</f>
        <v>0</v>
      </c>
      <c r="AZ6" s="231">
        <f>IF(AND('NFR repository'!$H6=Params!$I$3,IFERROR(FIND(AZ$1,'NFR repository'!$U6)&gt;0,FALSE)),'NFR repository'!$I6,0)</f>
        <v>0</v>
      </c>
      <c r="BA6" s="231">
        <f>IF(AND('NFR repository'!$H6=Params!$I$3,IFERROR(FIND(BA$1,'NFR repository'!$U6)&gt;0,FALSE)),'NFR repository'!$I6,0)</f>
        <v>0</v>
      </c>
      <c r="BB6" s="231">
        <f>IF(AND('NFR repository'!$H6=Params!$I$3,IFERROR(FIND(BB$1,'NFR repository'!$U6)&gt;0,FALSE)),'NFR repository'!$I6,0)</f>
        <v>0</v>
      </c>
      <c r="BC6" s="231">
        <f>IF(AND('NFR repository'!$H6=Params!$I$3,IFERROR(FIND(BC$1,'NFR repository'!$U6)&gt;0,FALSE)),'NFR repository'!$I6,0)</f>
        <v>0</v>
      </c>
      <c r="BD6" s="231">
        <f>IF(AND('NFR repository'!$H6=Params!$I$3,IFERROR(FIND(BD$1,'NFR repository'!$U6)&gt;0,FALSE)),'NFR repository'!$I6,0)</f>
        <v>0</v>
      </c>
      <c r="BE6" s="93">
        <f>IF(AND('NFR repository'!$H6=Params!$I$3,IFERROR(FIND(BE$1,'NFR repository'!$U6)&gt;0,FALSE)),'NFR repository'!$I6,0)</f>
        <v>0</v>
      </c>
      <c r="BF6" s="1"/>
      <c r="BG6" s="1"/>
      <c r="BH6" s="1"/>
      <c r="BI6" s="1"/>
      <c r="BJ6" s="1"/>
      <c r="BK6" s="1"/>
      <c r="BL6" s="1"/>
      <c r="BM6" s="1"/>
      <c r="BN6" s="1"/>
      <c r="BO6" s="1"/>
      <c r="BP6" s="1"/>
      <c r="BQ6" s="1"/>
      <c r="BR6" s="1"/>
      <c r="BS6" s="1"/>
      <c r="BT6" s="1"/>
      <c r="BU6" s="1"/>
      <c r="BV6" s="1"/>
      <c r="BW6" s="1"/>
      <c r="BX6" s="1"/>
      <c r="BY6" s="1"/>
      <c r="BZ6" s="1"/>
      <c r="CA6" s="1"/>
      <c r="CB6" s="1"/>
      <c r="CC6" s="1"/>
      <c r="CD6" s="1"/>
      <c r="CE6" s="1"/>
      <c r="CF6" s="1"/>
    </row>
    <row r="7" spans="1:84" ht="15.75" x14ac:dyDescent="0.25">
      <c r="A7" s="2"/>
      <c r="B7" s="52" t="s">
        <v>53</v>
      </c>
      <c r="C7" s="39" t="s">
        <v>108</v>
      </c>
      <c r="D7" s="82"/>
      <c r="E7" s="82"/>
      <c r="F7" s="4"/>
      <c r="G7" s="77"/>
      <c r="H7" s="4"/>
      <c r="I7" s="49"/>
      <c r="J7" s="213"/>
      <c r="K7" s="213"/>
      <c r="L7" s="189"/>
      <c r="M7" s="76"/>
      <c r="N7" s="76"/>
      <c r="O7" s="77"/>
      <c r="P7" s="77"/>
      <c r="Q7" s="77"/>
      <c r="R7" s="77"/>
      <c r="S7" s="4"/>
      <c r="T7" s="4"/>
      <c r="U7" s="4"/>
      <c r="V7" s="4"/>
      <c r="W7" s="4"/>
      <c r="X7" s="4"/>
      <c r="Y7" s="4"/>
      <c r="Z7" s="4"/>
      <c r="AA7" s="4"/>
      <c r="AB7" s="4"/>
      <c r="AC7" s="4"/>
      <c r="AD7" s="4"/>
      <c r="AE7" s="4"/>
      <c r="AF7" s="4"/>
      <c r="AG7" s="4"/>
      <c r="AH7" s="4"/>
      <c r="AI7" s="4"/>
      <c r="AJ7" s="4"/>
      <c r="AK7" s="4"/>
      <c r="AL7" s="4"/>
      <c r="AM7" s="4"/>
      <c r="AN7" s="4"/>
      <c r="AO7" s="4"/>
      <c r="AP7" s="4"/>
      <c r="AQ7" s="4"/>
      <c r="AR7" s="2"/>
      <c r="AS7" s="92" t="e">
        <f ca="1">IF(AND('NFR repository'!H7=Params!$I$3,INDIRECT("'NFR repository'!L" &amp; ROW('NFR repository'!A7) &amp; "C" &amp; TEXT(24 + $AS$2,"0"),FALSE)&lt;&gt;""),'NFR repository'!I7,0)</f>
        <v>#REF!</v>
      </c>
      <c r="AT7" s="168" t="e">
        <f ca="1">IF(AND('NFR repository'!H7=Params!$I$3,INDIRECT("'NFR repository'!L" &amp; ROW('NFR repository'!R7) &amp; "C" &amp; TEXT(28 + $AT$2,"0"),FALSE)&lt;&gt;""),'NFR repository'!I7,0)</f>
        <v>#REF!</v>
      </c>
      <c r="AU7" s="168" t="e">
        <f ca="1">IF(AND('NFR repository'!H7=Params!$I$3,INDIRECT("'NFR repository'!L" &amp; ROW('NFR repository'!R7) &amp; "C" &amp; TEXT(32 + $AU$2,"0"),FALSE)&lt;&gt;""),'NFR repository'!I7,0)</f>
        <v>#REF!</v>
      </c>
      <c r="AV7" s="233" t="e">
        <f ca="1">IF(AND('NFR repository'!H7=Params!$I$3,INDIRECT("'NFR repository'!L" &amp; ROW('NFR repository'!R7) &amp; "C" &amp; TEXT(36 + $AV$2,"0"),FALSE)&lt;&gt;""),'NFR repository'!I7,0)</f>
        <v>#REF!</v>
      </c>
      <c r="AW7" s="92">
        <f>IF(AND('NFR repository'!$H7=Params!$I$3,IFERROR(FIND(AW$1,'NFR repository'!$U7)&gt;0,FALSE)),'NFR repository'!$I7,0)</f>
        <v>0</v>
      </c>
      <c r="AX7" s="231">
        <f>IF(AND('NFR repository'!$H7=Params!$I$3,Synthesis!$I$8&lt;&gt;Params!$B$17,IFERROR(FIND(AX$1,'NFR repository'!$U7)&gt;0,FALSE)),'NFR repository'!$I7,0)</f>
        <v>0</v>
      </c>
      <c r="AY7" s="231">
        <f>IF(AND('NFR repository'!$H7=Params!$I$3,IFERROR(FIND(AY$1,'NFR repository'!$U7)&gt;0,FALSE)),'NFR repository'!$I7,0)</f>
        <v>0</v>
      </c>
      <c r="AZ7" s="231">
        <f>IF(AND('NFR repository'!$H7=Params!$I$3,IFERROR(FIND(AZ$1,'NFR repository'!$U7)&gt;0,FALSE)),'NFR repository'!$I7,0)</f>
        <v>0</v>
      </c>
      <c r="BA7" s="231">
        <f>IF(AND('NFR repository'!$H7=Params!$I$3,IFERROR(FIND(BA$1,'NFR repository'!$U7)&gt;0,FALSE)),'NFR repository'!$I7,0)</f>
        <v>0</v>
      </c>
      <c r="BB7" s="231">
        <f>IF(AND('NFR repository'!$H7=Params!$I$3,IFERROR(FIND(BB$1,'NFR repository'!$U7)&gt;0,FALSE)),'NFR repository'!$I7,0)</f>
        <v>0</v>
      </c>
      <c r="BC7" s="231">
        <f>IF(AND('NFR repository'!$H7=Params!$I$3,IFERROR(FIND(BC$1,'NFR repository'!$U7)&gt;0,FALSE)),'NFR repository'!$I7,0)</f>
        <v>0</v>
      </c>
      <c r="BD7" s="231">
        <f>IF(AND('NFR repository'!$H7=Params!$I$3,IFERROR(FIND(BD$1,'NFR repository'!$U7)&gt;0,FALSE)),'NFR repository'!$I7,0)</f>
        <v>0</v>
      </c>
      <c r="BE7" s="93">
        <f>IF(AND('NFR repository'!$H7=Params!$I$3,IFERROR(FIND(BE$1,'NFR repository'!$U7)&gt;0,FALSE)),'NFR repository'!$I7,0)</f>
        <v>0</v>
      </c>
      <c r="BF7" s="1"/>
      <c r="BG7" s="1"/>
      <c r="BH7" s="1"/>
      <c r="BI7" s="1"/>
      <c r="BJ7" s="1"/>
      <c r="BK7" s="1"/>
      <c r="BL7" s="1"/>
      <c r="BM7" s="1"/>
      <c r="BN7" s="1"/>
      <c r="BO7" s="1"/>
      <c r="BP7" s="1"/>
      <c r="BQ7" s="1"/>
      <c r="BR7" s="1"/>
      <c r="BS7" s="1"/>
      <c r="BT7" s="1"/>
      <c r="BU7" s="1"/>
      <c r="BV7" s="1"/>
      <c r="BW7" s="1"/>
      <c r="BX7" s="1"/>
      <c r="BY7" s="1"/>
      <c r="BZ7" s="1"/>
      <c r="CA7" s="1"/>
      <c r="CB7" s="1"/>
      <c r="CC7" s="1"/>
      <c r="CD7" s="1"/>
      <c r="CE7" s="1"/>
      <c r="CF7" s="1"/>
    </row>
    <row r="8" spans="1:84" ht="60" x14ac:dyDescent="0.25">
      <c r="A8" s="2"/>
      <c r="B8" s="193" t="s">
        <v>206</v>
      </c>
      <c r="C8" s="194" t="s">
        <v>347</v>
      </c>
      <c r="D8" s="83" t="s">
        <v>787</v>
      </c>
      <c r="E8" s="84"/>
      <c r="F8" s="35" t="s">
        <v>279</v>
      </c>
      <c r="G8" s="51" t="s">
        <v>742</v>
      </c>
      <c r="H8" s="35" t="s">
        <v>472</v>
      </c>
      <c r="I8" s="72" t="s">
        <v>41</v>
      </c>
      <c r="J8" s="215"/>
      <c r="K8" s="215"/>
      <c r="L8" s="195"/>
      <c r="M8" s="80" t="s">
        <v>558</v>
      </c>
      <c r="N8" s="80" t="s">
        <v>148</v>
      </c>
      <c r="O8" s="51" t="s">
        <v>574</v>
      </c>
      <c r="P8" s="51" t="s">
        <v>577</v>
      </c>
      <c r="Q8" s="51" t="s">
        <v>46</v>
      </c>
      <c r="R8" s="51" t="s">
        <v>46</v>
      </c>
      <c r="S8" s="35" t="s">
        <v>46</v>
      </c>
      <c r="T8" s="35" t="s">
        <v>46</v>
      </c>
      <c r="U8" s="35" t="s">
        <v>146</v>
      </c>
      <c r="V8" s="38" t="s">
        <v>146</v>
      </c>
      <c r="W8" s="3"/>
      <c r="X8" s="3"/>
      <c r="Y8" s="3"/>
      <c r="Z8" s="3"/>
      <c r="AA8" s="3"/>
      <c r="AB8" s="3"/>
      <c r="AC8" s="3"/>
      <c r="AD8" s="3"/>
      <c r="AE8" s="3"/>
      <c r="AF8" s="3"/>
      <c r="AG8" s="3"/>
      <c r="AH8" s="3"/>
      <c r="AI8" s="3"/>
      <c r="AJ8" s="3"/>
      <c r="AK8" s="3"/>
      <c r="AL8" s="3"/>
      <c r="AM8" s="3"/>
      <c r="AN8" s="3"/>
      <c r="AO8" s="3"/>
      <c r="AP8" s="3"/>
      <c r="AQ8" s="3"/>
      <c r="AR8" s="2"/>
      <c r="AS8" s="92" t="e">
        <f ca="1">IF(AND('NFR repository'!H8=Params!$I$3,INDIRECT("'NFR repository'!L" &amp; ROW('NFR repository'!A8) &amp; "C" &amp; TEXT(24 + $AS$2,"0"),FALSE)&lt;&gt;""),'NFR repository'!I8,0)</f>
        <v>#REF!</v>
      </c>
      <c r="AT8" s="168" t="e">
        <f ca="1">IF(AND('NFR repository'!H8=Params!$I$3,INDIRECT("'NFR repository'!L" &amp; ROW('NFR repository'!R8) &amp; "C" &amp; TEXT(28 + $AT$2,"0"),FALSE)&lt;&gt;""),'NFR repository'!I8,0)</f>
        <v>#REF!</v>
      </c>
      <c r="AU8" s="168" t="e">
        <f ca="1">IF(AND('NFR repository'!H8=Params!$I$3,INDIRECT("'NFR repository'!L" &amp; ROW('NFR repository'!R8) &amp; "C" &amp; TEXT(32 + $AU$2,"0"),FALSE)&lt;&gt;""),'NFR repository'!I8,0)</f>
        <v>#REF!</v>
      </c>
      <c r="AV8" s="233" t="e">
        <f ca="1">IF(AND('NFR repository'!H8=Params!$I$3,INDIRECT("'NFR repository'!L" &amp; ROW('NFR repository'!R8) &amp; "C" &amp; TEXT(36 + $AV$2,"0"),FALSE)&lt;&gt;""),'NFR repository'!I8,0)</f>
        <v>#REF!</v>
      </c>
      <c r="AW8" s="92">
        <f>IF(AND('NFR repository'!$H8=Params!$I$3,IFERROR(FIND(AW$1,'NFR repository'!$U8)&gt;0,FALSE)),'NFR repository'!$I8,0)</f>
        <v>0</v>
      </c>
      <c r="AX8" s="231">
        <f>IF(AND('NFR repository'!$H8=Params!$I$3,Synthesis!$I$8&lt;&gt;Params!$B$17,IFERROR(FIND(AX$1,'NFR repository'!$U8)&gt;0,FALSE)),'NFR repository'!$I8,0)</f>
        <v>0</v>
      </c>
      <c r="AY8" s="231">
        <f>IF(AND('NFR repository'!$H8=Params!$I$3,IFERROR(FIND(AY$1,'NFR repository'!$U8)&gt;0,FALSE)),'NFR repository'!$I8,0)</f>
        <v>0</v>
      </c>
      <c r="AZ8" s="231">
        <f>IF(AND('NFR repository'!$H8=Params!$I$3,IFERROR(FIND(AZ$1,'NFR repository'!$U8)&gt;0,FALSE)),'NFR repository'!$I8,0)</f>
        <v>0</v>
      </c>
      <c r="BA8" s="231">
        <f>IF(AND('NFR repository'!$H8=Params!$I$3,IFERROR(FIND(BA$1,'NFR repository'!$U8)&gt;0,FALSE)),'NFR repository'!$I8,0)</f>
        <v>0</v>
      </c>
      <c r="BB8" s="231">
        <f>IF(AND('NFR repository'!$H8=Params!$I$3,IFERROR(FIND(BB$1,'NFR repository'!$U8)&gt;0,FALSE)),'NFR repository'!$I8,0)</f>
        <v>0</v>
      </c>
      <c r="BC8" s="231">
        <f>IF(AND('NFR repository'!$H8=Params!$I$3,IFERROR(FIND(BC$1,'NFR repository'!$U8)&gt;0,FALSE)),'NFR repository'!$I8,0)</f>
        <v>0</v>
      </c>
      <c r="BD8" s="231">
        <f>IF(AND('NFR repository'!$H8=Params!$I$3,IFERROR(FIND(BD$1,'NFR repository'!$U8)&gt;0,FALSE)),'NFR repository'!$I8,0)</f>
        <v>0</v>
      </c>
      <c r="BE8" s="93">
        <f>IF(AND('NFR repository'!$H8=Params!$I$3,IFERROR(FIND(BE$1,'NFR repository'!$U8)&gt;0,FALSE)),'NFR repository'!$I8,0)</f>
        <v>0</v>
      </c>
      <c r="BF8" s="1"/>
      <c r="BG8" s="1"/>
      <c r="BH8" s="1"/>
      <c r="BI8" s="1"/>
      <c r="BJ8" s="1"/>
      <c r="BK8" s="1"/>
      <c r="BL8" s="1"/>
      <c r="BM8" s="1"/>
      <c r="BN8" s="1"/>
      <c r="BO8" s="1"/>
      <c r="BP8" s="1"/>
      <c r="BQ8" s="1"/>
      <c r="BR8" s="1"/>
      <c r="BS8" s="1"/>
      <c r="BT8" s="1"/>
      <c r="BU8" s="1"/>
      <c r="BV8" s="1"/>
      <c r="BW8" s="1"/>
      <c r="BX8" s="1"/>
      <c r="BY8" s="1"/>
      <c r="BZ8" s="1"/>
      <c r="CA8" s="1"/>
      <c r="CB8" s="1"/>
      <c r="CC8" s="1"/>
      <c r="CD8" s="1"/>
      <c r="CE8" s="1"/>
      <c r="CF8" s="1"/>
    </row>
    <row r="9" spans="1:84" ht="45" x14ac:dyDescent="0.25">
      <c r="A9" s="2"/>
      <c r="B9" s="193" t="s">
        <v>207</v>
      </c>
      <c r="C9" s="194" t="s">
        <v>348</v>
      </c>
      <c r="D9" s="36" t="s">
        <v>137</v>
      </c>
      <c r="E9" s="36" t="s">
        <v>132</v>
      </c>
      <c r="F9" s="35" t="s">
        <v>584</v>
      </c>
      <c r="G9" s="51" t="s">
        <v>741</v>
      </c>
      <c r="H9" s="35" t="s">
        <v>472</v>
      </c>
      <c r="I9" s="72" t="s">
        <v>41</v>
      </c>
      <c r="J9" s="215"/>
      <c r="K9" s="215"/>
      <c r="L9" s="195"/>
      <c r="M9" s="51" t="s">
        <v>130</v>
      </c>
      <c r="N9" s="51" t="s">
        <v>131</v>
      </c>
      <c r="O9" s="51" t="s">
        <v>575</v>
      </c>
      <c r="P9" s="51" t="s">
        <v>576</v>
      </c>
      <c r="Q9" s="51" t="s">
        <v>46</v>
      </c>
      <c r="R9" s="51" t="s">
        <v>46</v>
      </c>
      <c r="S9" s="35" t="s">
        <v>46</v>
      </c>
      <c r="T9" s="35" t="s">
        <v>46</v>
      </c>
      <c r="U9" s="35" t="s">
        <v>591</v>
      </c>
      <c r="V9" s="35" t="s">
        <v>591</v>
      </c>
      <c r="W9" s="3"/>
      <c r="X9" s="3"/>
      <c r="Y9" s="3"/>
      <c r="Z9" s="3"/>
      <c r="AA9" s="3"/>
      <c r="AB9" s="3"/>
      <c r="AC9" s="3"/>
      <c r="AD9" s="3"/>
      <c r="AE9" s="3"/>
      <c r="AF9" s="3"/>
      <c r="AG9" s="3"/>
      <c r="AH9" s="3"/>
      <c r="AI9" s="3"/>
      <c r="AJ9" s="3"/>
      <c r="AK9" s="3"/>
      <c r="AL9" s="3"/>
      <c r="AM9" s="3"/>
      <c r="AN9" s="3"/>
      <c r="AO9" s="3"/>
      <c r="AP9" s="3"/>
      <c r="AQ9" s="3"/>
      <c r="AR9" s="2"/>
      <c r="AS9" s="92" t="e">
        <f ca="1">IF(AND('NFR repository'!H9=Params!$I$3,INDIRECT("'NFR repository'!L" &amp; ROW('NFR repository'!A9) &amp; "C" &amp; TEXT(24 + $AS$2,"0"),FALSE)&lt;&gt;""),'NFR repository'!I9,0)</f>
        <v>#REF!</v>
      </c>
      <c r="AT9" s="168" t="e">
        <f ca="1">IF(AND('NFR repository'!H9=Params!$I$3,INDIRECT("'NFR repository'!L" &amp; ROW('NFR repository'!R9) &amp; "C" &amp; TEXT(28 + $AT$2,"0"),FALSE)&lt;&gt;""),'NFR repository'!I9,0)</f>
        <v>#REF!</v>
      </c>
      <c r="AU9" s="168" t="e">
        <f ca="1">IF(AND('NFR repository'!H9=Params!$I$3,INDIRECT("'NFR repository'!L" &amp; ROW('NFR repository'!R9) &amp; "C" &amp; TEXT(32 + $AU$2,"0"),FALSE)&lt;&gt;""),'NFR repository'!I9,0)</f>
        <v>#REF!</v>
      </c>
      <c r="AV9" s="233" t="e">
        <f ca="1">IF(AND('NFR repository'!H9=Params!$I$3,INDIRECT("'NFR repository'!L" &amp; ROW('NFR repository'!R9) &amp; "C" &amp; TEXT(36 + $AV$2,"0"),FALSE)&lt;&gt;""),'NFR repository'!I9,0)</f>
        <v>#REF!</v>
      </c>
      <c r="AW9" s="92">
        <f>IF(AND('NFR repository'!$H9=Params!$I$3,IFERROR(FIND(AW$1,'NFR repository'!$U9)&gt;0,FALSE)),'NFR repository'!$I9,0)</f>
        <v>0</v>
      </c>
      <c r="AX9" s="231">
        <f>IF(AND('NFR repository'!$H9=Params!$I$3,Synthesis!$I$8&lt;&gt;Params!$B$17,IFERROR(FIND(AX$1,'NFR repository'!$U9)&gt;0,FALSE)),'NFR repository'!$I9,0)</f>
        <v>0</v>
      </c>
      <c r="AY9" s="231">
        <f>IF(AND('NFR repository'!$H9=Params!$I$3,IFERROR(FIND(AY$1,'NFR repository'!$U9)&gt;0,FALSE)),'NFR repository'!$I9,0)</f>
        <v>0</v>
      </c>
      <c r="AZ9" s="231">
        <f>IF(AND('NFR repository'!$H9=Params!$I$3,IFERROR(FIND(AZ$1,'NFR repository'!$U9)&gt;0,FALSE)),'NFR repository'!$I9,0)</f>
        <v>0</v>
      </c>
      <c r="BA9" s="231">
        <f>IF(AND('NFR repository'!$H9=Params!$I$3,IFERROR(FIND(BA$1,'NFR repository'!$U9)&gt;0,FALSE)),'NFR repository'!$I9,0)</f>
        <v>0</v>
      </c>
      <c r="BB9" s="231">
        <f>IF(AND('NFR repository'!$H9=Params!$I$3,IFERROR(FIND(BB$1,'NFR repository'!$U9)&gt;0,FALSE)),'NFR repository'!$I9,0)</f>
        <v>0</v>
      </c>
      <c r="BC9" s="231">
        <f>IF(AND('NFR repository'!$H9=Params!$I$3,IFERROR(FIND(BC$1,'NFR repository'!$U9)&gt;0,FALSE)),'NFR repository'!$I9,0)</f>
        <v>0</v>
      </c>
      <c r="BD9" s="231">
        <f>IF(AND('NFR repository'!$H9=Params!$I$3,IFERROR(FIND(BD$1,'NFR repository'!$U9)&gt;0,FALSE)),'NFR repository'!$I9,0)</f>
        <v>0</v>
      </c>
      <c r="BE9" s="93">
        <f>IF(AND('NFR repository'!$H9=Params!$I$3,IFERROR(FIND(BE$1,'NFR repository'!$U9)&gt;0,FALSE)),'NFR repository'!$I9,0)</f>
        <v>0</v>
      </c>
      <c r="BF9" s="1"/>
      <c r="BG9" s="1"/>
      <c r="BH9" s="1"/>
      <c r="BI9" s="1"/>
      <c r="BJ9" s="1"/>
      <c r="BK9" s="1"/>
      <c r="BL9" s="1"/>
      <c r="BM9" s="1"/>
      <c r="BN9" s="1"/>
      <c r="BO9" s="1"/>
      <c r="BP9" s="1"/>
      <c r="BQ9" s="1"/>
      <c r="BR9" s="1"/>
      <c r="BS9" s="1"/>
      <c r="BT9" s="1"/>
      <c r="BU9" s="1"/>
      <c r="BV9" s="1"/>
      <c r="BW9" s="1"/>
      <c r="BX9" s="1"/>
      <c r="BY9" s="1"/>
      <c r="BZ9" s="1"/>
      <c r="CA9" s="1"/>
      <c r="CB9" s="1"/>
      <c r="CC9" s="1"/>
      <c r="CD9" s="1"/>
      <c r="CE9" s="1"/>
      <c r="CF9" s="1"/>
    </row>
    <row r="10" spans="1:84" ht="45" x14ac:dyDescent="0.25">
      <c r="A10" s="2"/>
      <c r="B10" s="193" t="s">
        <v>208</v>
      </c>
      <c r="C10" s="194" t="s">
        <v>349</v>
      </c>
      <c r="D10" s="36" t="s">
        <v>137</v>
      </c>
      <c r="E10" s="36"/>
      <c r="F10" s="38" t="s">
        <v>583</v>
      </c>
      <c r="G10" s="78" t="s">
        <v>607</v>
      </c>
      <c r="H10" s="35" t="s">
        <v>472</v>
      </c>
      <c r="I10" s="72" t="s">
        <v>41</v>
      </c>
      <c r="J10" s="215"/>
      <c r="K10" s="215"/>
      <c r="L10" s="195"/>
      <c r="M10" s="51" t="s">
        <v>130</v>
      </c>
      <c r="N10" s="51" t="s">
        <v>648</v>
      </c>
      <c r="O10" s="51" t="s">
        <v>576</v>
      </c>
      <c r="P10" s="51" t="s">
        <v>579</v>
      </c>
      <c r="Q10" s="51" t="s">
        <v>151</v>
      </c>
      <c r="R10" s="51" t="s">
        <v>151</v>
      </c>
      <c r="S10" s="35" t="s">
        <v>461</v>
      </c>
      <c r="T10" s="35" t="s">
        <v>46</v>
      </c>
      <c r="U10" s="35" t="s">
        <v>11</v>
      </c>
      <c r="V10" s="35" t="s">
        <v>11</v>
      </c>
      <c r="W10" s="3"/>
      <c r="X10" s="3"/>
      <c r="Y10" s="3"/>
      <c r="Z10" s="3"/>
      <c r="AA10" s="3"/>
      <c r="AB10" s="3"/>
      <c r="AC10" s="3"/>
      <c r="AD10" s="3"/>
      <c r="AE10" s="3"/>
      <c r="AF10" s="3"/>
      <c r="AG10" s="3"/>
      <c r="AH10" s="3"/>
      <c r="AI10" s="3"/>
      <c r="AJ10" s="3" t="s">
        <v>128</v>
      </c>
      <c r="AK10" s="3" t="s">
        <v>128</v>
      </c>
      <c r="AL10" s="3" t="s">
        <v>128</v>
      </c>
      <c r="AM10" s="3"/>
      <c r="AN10" s="3"/>
      <c r="AO10" s="3"/>
      <c r="AP10" s="3"/>
      <c r="AQ10" s="3"/>
      <c r="AR10" s="2"/>
      <c r="AS10" s="92" t="e">
        <f ca="1">IF(AND('NFR repository'!H10=Params!$I$3,INDIRECT("'NFR repository'!L" &amp; ROW('NFR repository'!A10) &amp; "C" &amp; TEXT(24 + $AS$2,"0"),FALSE)&lt;&gt;""),'NFR repository'!I10,0)</f>
        <v>#REF!</v>
      </c>
      <c r="AT10" s="168" t="e">
        <f ca="1">IF(AND('NFR repository'!H10=Params!$I$3,INDIRECT("'NFR repository'!L" &amp; ROW('NFR repository'!R10) &amp; "C" &amp; TEXT(28 + $AT$2,"0"),FALSE)&lt;&gt;""),'NFR repository'!I10,0)</f>
        <v>#REF!</v>
      </c>
      <c r="AU10" s="168" t="e">
        <f ca="1">IF(AND('NFR repository'!H10=Params!$I$3,INDIRECT("'NFR repository'!L" &amp; ROW('NFR repository'!R10) &amp; "C" &amp; TEXT(32 + $AU$2,"0"),FALSE)&lt;&gt;""),'NFR repository'!I10,0)</f>
        <v>#REF!</v>
      </c>
      <c r="AV10" s="233" t="e">
        <f ca="1">IF(AND('NFR repository'!H10=Params!$I$3,INDIRECT("'NFR repository'!L" &amp; ROW('NFR repository'!R10) &amp; "C" &amp; TEXT(36 + $AV$2,"0"),FALSE)&lt;&gt;""),'NFR repository'!I10,0)</f>
        <v>#REF!</v>
      </c>
      <c r="AW10" s="92">
        <f>IF(AND('NFR repository'!$H10=Params!$I$3,IFERROR(FIND(AW$1,'NFR repository'!$U10)&gt;0,FALSE)),'NFR repository'!$I10,0)</f>
        <v>0</v>
      </c>
      <c r="AX10" s="231">
        <f>IF(AND('NFR repository'!$H10=Params!$I$3,Synthesis!$I$8&lt;&gt;Params!$B$17,IFERROR(FIND(AX$1,'NFR repository'!$U10)&gt;0,FALSE)),'NFR repository'!$I10,0)</f>
        <v>0</v>
      </c>
      <c r="AY10" s="231">
        <f>IF(AND('NFR repository'!$H10=Params!$I$3,IFERROR(FIND(AY$1,'NFR repository'!$U10)&gt;0,FALSE)),'NFR repository'!$I10,0)</f>
        <v>0</v>
      </c>
      <c r="AZ10" s="231">
        <f>IF(AND('NFR repository'!$H10=Params!$I$3,IFERROR(FIND(AZ$1,'NFR repository'!$U10)&gt;0,FALSE)),'NFR repository'!$I10,0)</f>
        <v>0</v>
      </c>
      <c r="BA10" s="231">
        <f>IF(AND('NFR repository'!$H10=Params!$I$3,IFERROR(FIND(BA$1,'NFR repository'!$U10)&gt;0,FALSE)),'NFR repository'!$I10,0)</f>
        <v>0</v>
      </c>
      <c r="BB10" s="231">
        <f>IF(AND('NFR repository'!$H10=Params!$I$3,IFERROR(FIND(BB$1,'NFR repository'!$U10)&gt;0,FALSE)),'NFR repository'!$I10,0)</f>
        <v>0</v>
      </c>
      <c r="BC10" s="231">
        <f>IF(AND('NFR repository'!$H10=Params!$I$3,IFERROR(FIND(BC$1,'NFR repository'!$U10)&gt;0,FALSE)),'NFR repository'!$I10,0)</f>
        <v>0</v>
      </c>
      <c r="BD10" s="231">
        <f>IF(AND('NFR repository'!$H10=Params!$I$3,IFERROR(FIND(BD$1,'NFR repository'!$U10)&gt;0,FALSE)),'NFR repository'!$I10,0)</f>
        <v>0</v>
      </c>
      <c r="BE10" s="93">
        <f>IF(AND('NFR repository'!$H10=Params!$I$3,IFERROR(FIND(BE$1,'NFR repository'!$U10)&gt;0,FALSE)),'NFR repository'!$I10,0)</f>
        <v>0</v>
      </c>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row>
    <row r="11" spans="1:84" ht="60" x14ac:dyDescent="0.25">
      <c r="A11" s="2"/>
      <c r="B11" s="193" t="s">
        <v>602</v>
      </c>
      <c r="C11" s="194" t="s">
        <v>601</v>
      </c>
      <c r="D11" s="83" t="s">
        <v>786</v>
      </c>
      <c r="E11" s="36" t="s">
        <v>603</v>
      </c>
      <c r="F11" s="35" t="s">
        <v>279</v>
      </c>
      <c r="G11" s="51" t="s">
        <v>742</v>
      </c>
      <c r="H11" s="35" t="s">
        <v>472</v>
      </c>
      <c r="I11" s="72" t="s">
        <v>41</v>
      </c>
      <c r="J11" s="215"/>
      <c r="K11" s="215"/>
      <c r="L11" s="195"/>
      <c r="M11" s="80" t="s">
        <v>558</v>
      </c>
      <c r="N11" s="80" t="s">
        <v>148</v>
      </c>
      <c r="O11" s="51" t="s">
        <v>574</v>
      </c>
      <c r="P11" s="51" t="s">
        <v>577</v>
      </c>
      <c r="Q11" s="51" t="s">
        <v>46</v>
      </c>
      <c r="R11" s="51" t="s">
        <v>46</v>
      </c>
      <c r="S11" s="35" t="s">
        <v>46</v>
      </c>
      <c r="T11" s="35" t="s">
        <v>46</v>
      </c>
      <c r="U11" s="35" t="s">
        <v>146</v>
      </c>
      <c r="V11" s="38" t="s">
        <v>146</v>
      </c>
      <c r="W11" s="3"/>
      <c r="X11" s="3"/>
      <c r="Y11" s="3"/>
      <c r="Z11" s="3"/>
      <c r="AA11" s="3"/>
      <c r="AB11" s="3"/>
      <c r="AC11" s="3"/>
      <c r="AD11" s="3"/>
      <c r="AE11" s="3"/>
      <c r="AF11" s="3"/>
      <c r="AG11" s="3"/>
      <c r="AH11" s="3"/>
      <c r="AI11" s="3"/>
      <c r="AJ11" s="3"/>
      <c r="AK11" s="3"/>
      <c r="AL11" s="3"/>
      <c r="AM11" s="3"/>
      <c r="AN11" s="3"/>
      <c r="AO11" s="3"/>
      <c r="AP11" s="3"/>
      <c r="AQ11" s="3"/>
      <c r="AR11" s="2"/>
      <c r="AS11" s="92" t="e">
        <f ca="1">IF(AND('NFR repository'!H11=Params!$I$3,INDIRECT("'NFR repository'!L" &amp; ROW('NFR repository'!A11) &amp; "C" &amp; TEXT(24 + $AS$2,"0"),FALSE)&lt;&gt;""),'NFR repository'!I11,0)</f>
        <v>#REF!</v>
      </c>
      <c r="AT11" s="168" t="e">
        <f ca="1">IF(AND('NFR repository'!H11=Params!$I$3,INDIRECT("'NFR repository'!L" &amp; ROW('NFR repository'!R11) &amp; "C" &amp; TEXT(28 + $AT$2,"0"),FALSE)&lt;&gt;""),'NFR repository'!I11,0)</f>
        <v>#REF!</v>
      </c>
      <c r="AU11" s="168" t="e">
        <f ca="1">IF(AND('NFR repository'!H11=Params!$I$3,INDIRECT("'NFR repository'!L" &amp; ROW('NFR repository'!R11) &amp; "C" &amp; TEXT(32 + $AU$2,"0"),FALSE)&lt;&gt;""),'NFR repository'!I11,0)</f>
        <v>#REF!</v>
      </c>
      <c r="AV11" s="233" t="e">
        <f ca="1">IF(AND('NFR repository'!H11=Params!$I$3,INDIRECT("'NFR repository'!L" &amp; ROW('NFR repository'!R11) &amp; "C" &amp; TEXT(36 + $AV$2,"0"),FALSE)&lt;&gt;""),'NFR repository'!I11,0)</f>
        <v>#REF!</v>
      </c>
      <c r="AW11" s="92">
        <f>IF(AND('NFR repository'!$H11=Params!$I$3,IFERROR(FIND(AW$1,'NFR repository'!$U11)&gt;0,FALSE)),'NFR repository'!$I11,0)</f>
        <v>0</v>
      </c>
      <c r="AX11" s="231">
        <f>IF(AND('NFR repository'!$H11=Params!$I$3,Synthesis!$I$8&lt;&gt;Params!$B$17,IFERROR(FIND(AX$1,'NFR repository'!$U11)&gt;0,FALSE)),'NFR repository'!$I11,0)</f>
        <v>0</v>
      </c>
      <c r="AY11" s="231">
        <f>IF(AND('NFR repository'!$H11=Params!$I$3,IFERROR(FIND(AY$1,'NFR repository'!$U11)&gt;0,FALSE)),'NFR repository'!$I11,0)</f>
        <v>0</v>
      </c>
      <c r="AZ11" s="231">
        <f>IF(AND('NFR repository'!$H11=Params!$I$3,IFERROR(FIND(AZ$1,'NFR repository'!$U11)&gt;0,FALSE)),'NFR repository'!$I11,0)</f>
        <v>0</v>
      </c>
      <c r="BA11" s="231">
        <f>IF(AND('NFR repository'!$H11=Params!$I$3,IFERROR(FIND(BA$1,'NFR repository'!$U11)&gt;0,FALSE)),'NFR repository'!$I11,0)</f>
        <v>0</v>
      </c>
      <c r="BB11" s="231">
        <f>IF(AND('NFR repository'!$H11=Params!$I$3,IFERROR(FIND(BB$1,'NFR repository'!$U11)&gt;0,FALSE)),'NFR repository'!$I11,0)</f>
        <v>0</v>
      </c>
      <c r="BC11" s="231">
        <f>IF(AND('NFR repository'!$H11=Params!$I$3,IFERROR(FIND(BC$1,'NFR repository'!$U11)&gt;0,FALSE)),'NFR repository'!$I11,0)</f>
        <v>0</v>
      </c>
      <c r="BD11" s="231">
        <f>IF(AND('NFR repository'!$H11=Params!$I$3,IFERROR(FIND(BD$1,'NFR repository'!$U11)&gt;0,FALSE)),'NFR repository'!$I11,0)</f>
        <v>0</v>
      </c>
      <c r="BE11" s="93">
        <f>IF(AND('NFR repository'!$H11=Params!$I$3,IFERROR(FIND(BE$1,'NFR repository'!$U11)&gt;0,FALSE)),'NFR repository'!$I11,0)</f>
        <v>0</v>
      </c>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row>
    <row r="12" spans="1:84" ht="15.75" x14ac:dyDescent="0.25">
      <c r="A12" s="2"/>
      <c r="B12" s="52" t="s">
        <v>54</v>
      </c>
      <c r="C12" s="39" t="s">
        <v>109</v>
      </c>
      <c r="D12" s="82"/>
      <c r="E12" s="82"/>
      <c r="F12" s="4"/>
      <c r="G12" s="77"/>
      <c r="H12" s="4"/>
      <c r="I12" s="49"/>
      <c r="J12" s="213"/>
      <c r="K12" s="213"/>
      <c r="L12" s="189"/>
      <c r="M12" s="76"/>
      <c r="N12" s="76"/>
      <c r="O12" s="77"/>
      <c r="P12" s="77"/>
      <c r="Q12" s="77"/>
      <c r="R12" s="77"/>
      <c r="S12" s="4"/>
      <c r="T12" s="4"/>
      <c r="U12" s="4"/>
      <c r="V12" s="4"/>
      <c r="W12" s="4"/>
      <c r="X12" s="4"/>
      <c r="Y12" s="4"/>
      <c r="Z12" s="4"/>
      <c r="AA12" s="4"/>
      <c r="AB12" s="4"/>
      <c r="AC12" s="4"/>
      <c r="AD12" s="4"/>
      <c r="AE12" s="4"/>
      <c r="AF12" s="4"/>
      <c r="AG12" s="4"/>
      <c r="AH12" s="4"/>
      <c r="AI12" s="4"/>
      <c r="AJ12" s="4"/>
      <c r="AK12" s="4"/>
      <c r="AL12" s="4"/>
      <c r="AM12" s="4"/>
      <c r="AN12" s="4"/>
      <c r="AO12" s="4"/>
      <c r="AP12" s="4"/>
      <c r="AQ12" s="4"/>
      <c r="AR12" s="2"/>
      <c r="AS12" s="92" t="e">
        <f ca="1">IF(AND('NFR repository'!H12=Params!$I$3,INDIRECT("'NFR repository'!L" &amp; ROW('NFR repository'!A12) &amp; "C" &amp; TEXT(24 + $AS$2,"0"),FALSE)&lt;&gt;""),'NFR repository'!I12,0)</f>
        <v>#REF!</v>
      </c>
      <c r="AT12" s="168" t="e">
        <f ca="1">IF(AND('NFR repository'!H12=Params!$I$3,INDIRECT("'NFR repository'!L" &amp; ROW('NFR repository'!R12) &amp; "C" &amp; TEXT(28 + $AT$2,"0"),FALSE)&lt;&gt;""),'NFR repository'!I12,0)</f>
        <v>#REF!</v>
      </c>
      <c r="AU12" s="168" t="e">
        <f ca="1">IF(AND('NFR repository'!H12=Params!$I$3,INDIRECT("'NFR repository'!L" &amp; ROW('NFR repository'!R12) &amp; "C" &amp; TEXT(32 + $AU$2,"0"),FALSE)&lt;&gt;""),'NFR repository'!I12,0)</f>
        <v>#REF!</v>
      </c>
      <c r="AV12" s="233" t="e">
        <f ca="1">IF(AND('NFR repository'!H12=Params!$I$3,INDIRECT("'NFR repository'!L" &amp; ROW('NFR repository'!R12) &amp; "C" &amp; TEXT(36 + $AV$2,"0"),FALSE)&lt;&gt;""),'NFR repository'!I12,0)</f>
        <v>#REF!</v>
      </c>
      <c r="AW12" s="92">
        <f>IF(AND('NFR repository'!$H12=Params!$I$3,IFERROR(FIND(AW$1,'NFR repository'!$U12)&gt;0,FALSE)),'NFR repository'!$I12,0)</f>
        <v>0</v>
      </c>
      <c r="AX12" s="231">
        <f>IF(AND('NFR repository'!$H12=Params!$I$3,Synthesis!$I$8&lt;&gt;Params!$B$17,IFERROR(FIND(AX$1,'NFR repository'!$U12)&gt;0,FALSE)),'NFR repository'!$I12,0)</f>
        <v>0</v>
      </c>
      <c r="AY12" s="231">
        <f>IF(AND('NFR repository'!$H12=Params!$I$3,IFERROR(FIND(AY$1,'NFR repository'!$U12)&gt;0,FALSE)),'NFR repository'!$I12,0)</f>
        <v>0</v>
      </c>
      <c r="AZ12" s="231">
        <f>IF(AND('NFR repository'!$H12=Params!$I$3,IFERROR(FIND(AZ$1,'NFR repository'!$U12)&gt;0,FALSE)),'NFR repository'!$I12,0)</f>
        <v>0</v>
      </c>
      <c r="BA12" s="231">
        <f>IF(AND('NFR repository'!$H12=Params!$I$3,IFERROR(FIND(BA$1,'NFR repository'!$U12)&gt;0,FALSE)),'NFR repository'!$I12,0)</f>
        <v>0</v>
      </c>
      <c r="BB12" s="231">
        <f>IF(AND('NFR repository'!$H12=Params!$I$3,IFERROR(FIND(BB$1,'NFR repository'!$U12)&gt;0,FALSE)),'NFR repository'!$I12,0)</f>
        <v>0</v>
      </c>
      <c r="BC12" s="231">
        <f>IF(AND('NFR repository'!$H12=Params!$I$3,IFERROR(FIND(BC$1,'NFR repository'!$U12)&gt;0,FALSE)),'NFR repository'!$I12,0)</f>
        <v>0</v>
      </c>
      <c r="BD12" s="231">
        <f>IF(AND('NFR repository'!$H12=Params!$I$3,IFERROR(FIND(BD$1,'NFR repository'!$U12)&gt;0,FALSE)),'NFR repository'!$I12,0)</f>
        <v>0</v>
      </c>
      <c r="BE12" s="93">
        <f>IF(AND('NFR repository'!$H12=Params!$I$3,IFERROR(FIND(BE$1,'NFR repository'!$U12)&gt;0,FALSE)),'NFR repository'!$I12,0)</f>
        <v>0</v>
      </c>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row>
    <row r="13" spans="1:84" ht="15.75" x14ac:dyDescent="0.25">
      <c r="A13" s="2"/>
      <c r="B13" s="52" t="s">
        <v>486</v>
      </c>
      <c r="C13" s="39" t="s">
        <v>487</v>
      </c>
      <c r="D13" s="82"/>
      <c r="E13" s="82"/>
      <c r="F13" s="4"/>
      <c r="G13" s="77"/>
      <c r="H13" s="4"/>
      <c r="I13" s="49"/>
      <c r="J13" s="213"/>
      <c r="K13" s="213"/>
      <c r="L13" s="189"/>
      <c r="M13" s="76"/>
      <c r="N13" s="76"/>
      <c r="O13" s="77"/>
      <c r="P13" s="77"/>
      <c r="Q13" s="77"/>
      <c r="R13" s="77"/>
      <c r="S13" s="4"/>
      <c r="T13" s="4"/>
      <c r="U13" s="4"/>
      <c r="V13" s="4"/>
      <c r="W13" s="4"/>
      <c r="X13" s="4"/>
      <c r="Y13" s="4"/>
      <c r="Z13" s="4"/>
      <c r="AA13" s="4"/>
      <c r="AB13" s="4"/>
      <c r="AC13" s="4"/>
      <c r="AD13" s="4"/>
      <c r="AE13" s="4"/>
      <c r="AF13" s="4"/>
      <c r="AG13" s="4"/>
      <c r="AH13" s="4"/>
      <c r="AI13" s="4"/>
      <c r="AJ13" s="4"/>
      <c r="AK13" s="4"/>
      <c r="AL13" s="4"/>
      <c r="AM13" s="4"/>
      <c r="AN13" s="4"/>
      <c r="AO13" s="4"/>
      <c r="AP13" s="4"/>
      <c r="AQ13" s="4"/>
      <c r="AR13" s="2"/>
      <c r="AS13" s="92" t="e">
        <f ca="1">IF(AND('NFR repository'!H13=Params!$I$3,INDIRECT("'NFR repository'!L" &amp; ROW('NFR repository'!A13) &amp; "C" &amp; TEXT(24 + $AS$2,"0"),FALSE)&lt;&gt;""),'NFR repository'!I13,0)</f>
        <v>#REF!</v>
      </c>
      <c r="AT13" s="168" t="e">
        <f ca="1">IF(AND('NFR repository'!H13=Params!$I$3,INDIRECT("'NFR repository'!L" &amp; ROW('NFR repository'!R13) &amp; "C" &amp; TEXT(28 + $AT$2,"0"),FALSE)&lt;&gt;""),'NFR repository'!I13,0)</f>
        <v>#REF!</v>
      </c>
      <c r="AU13" s="168" t="e">
        <f ca="1">IF(AND('NFR repository'!H13=Params!$I$3,INDIRECT("'NFR repository'!L" &amp; ROW('NFR repository'!R13) &amp; "C" &amp; TEXT(32 + $AU$2,"0"),FALSE)&lt;&gt;""),'NFR repository'!I13,0)</f>
        <v>#REF!</v>
      </c>
      <c r="AV13" s="233" t="e">
        <f ca="1">IF(AND('NFR repository'!H13=Params!$I$3,INDIRECT("'NFR repository'!L" &amp; ROW('NFR repository'!R13) &amp; "C" &amp; TEXT(36 + $AV$2,"0"),FALSE)&lt;&gt;""),'NFR repository'!I13,0)</f>
        <v>#REF!</v>
      </c>
      <c r="AW13" s="92">
        <f>IF(AND('NFR repository'!$H13=Params!$I$3,IFERROR(FIND(AW$1,'NFR repository'!$U13)&gt;0,FALSE)),'NFR repository'!$I13,0)</f>
        <v>0</v>
      </c>
      <c r="AX13" s="231">
        <f>IF(AND('NFR repository'!$H13=Params!$I$3,Synthesis!$I$8&lt;&gt;Params!$B$17,IFERROR(FIND(AX$1,'NFR repository'!$U13)&gt;0,FALSE)),'NFR repository'!$I13,0)</f>
        <v>0</v>
      </c>
      <c r="AY13" s="231">
        <f>IF(AND('NFR repository'!$H13=Params!$I$3,IFERROR(FIND(AY$1,'NFR repository'!$U13)&gt;0,FALSE)),'NFR repository'!$I13,0)</f>
        <v>0</v>
      </c>
      <c r="AZ13" s="231">
        <f>IF(AND('NFR repository'!$H13=Params!$I$3,IFERROR(FIND(AZ$1,'NFR repository'!$U13)&gt;0,FALSE)),'NFR repository'!$I13,0)</f>
        <v>0</v>
      </c>
      <c r="BA13" s="231">
        <f>IF(AND('NFR repository'!$H13=Params!$I$3,IFERROR(FIND(BA$1,'NFR repository'!$U13)&gt;0,FALSE)),'NFR repository'!$I13,0)</f>
        <v>0</v>
      </c>
      <c r="BB13" s="231">
        <f>IF(AND('NFR repository'!$H13=Params!$I$3,IFERROR(FIND(BB$1,'NFR repository'!$U13)&gt;0,FALSE)),'NFR repository'!$I13,0)</f>
        <v>0</v>
      </c>
      <c r="BC13" s="231">
        <f>IF(AND('NFR repository'!$H13=Params!$I$3,IFERROR(FIND(BC$1,'NFR repository'!$U13)&gt;0,FALSE)),'NFR repository'!$I13,0)</f>
        <v>0</v>
      </c>
      <c r="BD13" s="231">
        <f>IF(AND('NFR repository'!$H13=Params!$I$3,IFERROR(FIND(BD$1,'NFR repository'!$U13)&gt;0,FALSE)),'NFR repository'!$I13,0)</f>
        <v>0</v>
      </c>
      <c r="BE13" s="93">
        <f>IF(AND('NFR repository'!$H13=Params!$I$3,IFERROR(FIND(BE$1,'NFR repository'!$U13)&gt;0,FALSE)),'NFR repository'!$I13,0)</f>
        <v>0</v>
      </c>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row>
    <row r="14" spans="1:84" ht="75" x14ac:dyDescent="0.25">
      <c r="A14" s="2"/>
      <c r="B14" s="193" t="s">
        <v>496</v>
      </c>
      <c r="C14" s="194" t="s">
        <v>518</v>
      </c>
      <c r="D14" s="36" t="s">
        <v>137</v>
      </c>
      <c r="E14" s="36" t="s">
        <v>537</v>
      </c>
      <c r="F14" s="35" t="s">
        <v>543</v>
      </c>
      <c r="G14" s="78" t="s">
        <v>512</v>
      </c>
      <c r="H14" s="35" t="s">
        <v>472</v>
      </c>
      <c r="I14" s="72" t="s">
        <v>41</v>
      </c>
      <c r="J14" s="215"/>
      <c r="K14" s="215"/>
      <c r="L14" s="195"/>
      <c r="M14" s="79" t="s">
        <v>563</v>
      </c>
      <c r="N14" s="79" t="s">
        <v>563</v>
      </c>
      <c r="O14" s="51" t="s">
        <v>573</v>
      </c>
      <c r="P14" s="51" t="s">
        <v>573</v>
      </c>
      <c r="Q14" s="51" t="s">
        <v>46</v>
      </c>
      <c r="R14" s="51" t="s">
        <v>46</v>
      </c>
      <c r="S14" s="35" t="s">
        <v>46</v>
      </c>
      <c r="T14" s="35" t="s">
        <v>46</v>
      </c>
      <c r="U14" s="35" t="s">
        <v>127</v>
      </c>
      <c r="V14" s="35" t="s">
        <v>127</v>
      </c>
      <c r="W14" s="3"/>
      <c r="X14" s="3"/>
      <c r="Y14" s="3"/>
      <c r="Z14" s="3"/>
      <c r="AA14" s="3"/>
      <c r="AB14" s="3"/>
      <c r="AC14" s="3"/>
      <c r="AD14" s="3"/>
      <c r="AE14" s="3"/>
      <c r="AF14" s="3"/>
      <c r="AG14" s="3"/>
      <c r="AH14" s="3"/>
      <c r="AI14" s="3"/>
      <c r="AJ14" s="3"/>
      <c r="AK14" s="3"/>
      <c r="AL14" s="3"/>
      <c r="AM14" s="3"/>
      <c r="AN14" s="3" t="s">
        <v>128</v>
      </c>
      <c r="AO14" s="3"/>
      <c r="AP14" s="3"/>
      <c r="AQ14" s="3"/>
      <c r="AR14" s="2"/>
      <c r="AS14" s="92" t="e">
        <f ca="1">IF(AND('NFR repository'!H14=Params!$I$3,INDIRECT("'NFR repository'!L" &amp; ROW('NFR repository'!A14) &amp; "C" &amp; TEXT(24 + $AS$2,"0"),FALSE)&lt;&gt;""),'NFR repository'!I14,0)</f>
        <v>#REF!</v>
      </c>
      <c r="AT14" s="168" t="e">
        <f ca="1">IF(AND('NFR repository'!H14=Params!$I$3,INDIRECT("'NFR repository'!L" &amp; ROW('NFR repository'!R14) &amp; "C" &amp; TEXT(28 + $AT$2,"0"),FALSE)&lt;&gt;""),'NFR repository'!I14,0)</f>
        <v>#REF!</v>
      </c>
      <c r="AU14" s="168" t="e">
        <f ca="1">IF(AND('NFR repository'!H14=Params!$I$3,INDIRECT("'NFR repository'!L" &amp; ROW('NFR repository'!R14) &amp; "C" &amp; TEXT(32 + $AU$2,"0"),FALSE)&lt;&gt;""),'NFR repository'!I14,0)</f>
        <v>#REF!</v>
      </c>
      <c r="AV14" s="233" t="e">
        <f ca="1">IF(AND('NFR repository'!H14=Params!$I$3,INDIRECT("'NFR repository'!L" &amp; ROW('NFR repository'!R14) &amp; "C" &amp; TEXT(36 + $AV$2,"0"),FALSE)&lt;&gt;""),'NFR repository'!I14,0)</f>
        <v>#REF!</v>
      </c>
      <c r="AW14" s="92">
        <f>IF(AND('NFR repository'!$H14=Params!$I$3,IFERROR(FIND(AW$1,'NFR repository'!$U14)&gt;0,FALSE)),'NFR repository'!$I14,0)</f>
        <v>0</v>
      </c>
      <c r="AX14" s="231">
        <f>IF(AND('NFR repository'!$H14=Params!$I$3,Synthesis!$I$8&lt;&gt;Params!$B$17,IFERROR(FIND(AX$1,'NFR repository'!$U14)&gt;0,FALSE)),'NFR repository'!$I14,0)</f>
        <v>0</v>
      </c>
      <c r="AY14" s="231">
        <f>IF(AND('NFR repository'!$H14=Params!$I$3,IFERROR(FIND(AY$1,'NFR repository'!$U14)&gt;0,FALSE)),'NFR repository'!$I14,0)</f>
        <v>0</v>
      </c>
      <c r="AZ14" s="231">
        <f>IF(AND('NFR repository'!$H14=Params!$I$3,IFERROR(FIND(AZ$1,'NFR repository'!$U14)&gt;0,FALSE)),'NFR repository'!$I14,0)</f>
        <v>0</v>
      </c>
      <c r="BA14" s="231">
        <f>IF(AND('NFR repository'!$H14=Params!$I$3,IFERROR(FIND(BA$1,'NFR repository'!$U14)&gt;0,FALSE)),'NFR repository'!$I14,0)</f>
        <v>0</v>
      </c>
      <c r="BB14" s="231">
        <f>IF(AND('NFR repository'!$H14=Params!$I$3,IFERROR(FIND(BB$1,'NFR repository'!$U14)&gt;0,FALSE)),'NFR repository'!$I14,0)</f>
        <v>0</v>
      </c>
      <c r="BC14" s="231">
        <f>IF(AND('NFR repository'!$H14=Params!$I$3,IFERROR(FIND(BC$1,'NFR repository'!$U14)&gt;0,FALSE)),'NFR repository'!$I14,0)</f>
        <v>0</v>
      </c>
      <c r="BD14" s="231">
        <f>IF(AND('NFR repository'!$H14=Params!$I$3,IFERROR(FIND(BD$1,'NFR repository'!$U14)&gt;0,FALSE)),'NFR repository'!$I14,0)</f>
        <v>0</v>
      </c>
      <c r="BE14" s="93">
        <f>IF(AND('NFR repository'!$H14=Params!$I$3,IFERROR(FIND(BE$1,'NFR repository'!$U14)&gt;0,FALSE)),'NFR repository'!$I14,0)</f>
        <v>0</v>
      </c>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row>
    <row r="15" spans="1:84" ht="75" customHeight="1" x14ac:dyDescent="0.25">
      <c r="A15" s="2"/>
      <c r="B15" s="193" t="s">
        <v>500</v>
      </c>
      <c r="C15" s="194" t="s">
        <v>515</v>
      </c>
      <c r="D15" s="36" t="s">
        <v>137</v>
      </c>
      <c r="E15" s="36" t="s">
        <v>538</v>
      </c>
      <c r="F15" s="35" t="s">
        <v>279</v>
      </c>
      <c r="G15" s="78" t="s">
        <v>506</v>
      </c>
      <c r="H15" s="35" t="s">
        <v>472</v>
      </c>
      <c r="I15" s="72" t="s">
        <v>41</v>
      </c>
      <c r="J15" s="215"/>
      <c r="K15" s="215"/>
      <c r="L15" s="195"/>
      <c r="M15" s="79" t="s">
        <v>558</v>
      </c>
      <c r="N15" s="79" t="s">
        <v>564</v>
      </c>
      <c r="O15" s="51" t="s">
        <v>574</v>
      </c>
      <c r="P15" s="51" t="s">
        <v>574</v>
      </c>
      <c r="Q15" s="51" t="s">
        <v>46</v>
      </c>
      <c r="R15" s="51" t="s">
        <v>46</v>
      </c>
      <c r="S15" s="35" t="s">
        <v>46</v>
      </c>
      <c r="T15" s="35" t="s">
        <v>46</v>
      </c>
      <c r="U15" s="35" t="s">
        <v>127</v>
      </c>
      <c r="V15" s="35" t="s">
        <v>127</v>
      </c>
      <c r="W15" s="3"/>
      <c r="X15" s="3"/>
      <c r="Y15" s="3"/>
      <c r="Z15" s="3"/>
      <c r="AA15" s="3"/>
      <c r="AB15" s="3"/>
      <c r="AC15" s="3"/>
      <c r="AD15" s="3"/>
      <c r="AE15" s="3"/>
      <c r="AF15" s="3"/>
      <c r="AG15" s="3"/>
      <c r="AH15" s="3"/>
      <c r="AI15" s="3"/>
      <c r="AJ15" s="3"/>
      <c r="AK15" s="3"/>
      <c r="AL15" s="3"/>
      <c r="AM15" s="3"/>
      <c r="AN15" s="3" t="s">
        <v>128</v>
      </c>
      <c r="AO15" s="3"/>
      <c r="AP15" s="3"/>
      <c r="AQ15" s="3"/>
      <c r="AR15" s="2"/>
      <c r="AS15" s="92" t="e">
        <f ca="1">IF(AND('NFR repository'!H15=Params!$I$3,INDIRECT("'NFR repository'!L" &amp; ROW('NFR repository'!A15) &amp; "C" &amp; TEXT(24 + $AS$2,"0"),FALSE)&lt;&gt;""),'NFR repository'!I15,0)</f>
        <v>#REF!</v>
      </c>
      <c r="AT15" s="168" t="e">
        <f ca="1">IF(AND('NFR repository'!H15=Params!$I$3,INDIRECT("'NFR repository'!L" &amp; ROW('NFR repository'!R15) &amp; "C" &amp; TEXT(28 + $AT$2,"0"),FALSE)&lt;&gt;""),'NFR repository'!I15,0)</f>
        <v>#REF!</v>
      </c>
      <c r="AU15" s="168" t="e">
        <f ca="1">IF(AND('NFR repository'!H15=Params!$I$3,INDIRECT("'NFR repository'!L" &amp; ROW('NFR repository'!R15) &amp; "C" &amp; TEXT(32 + $AU$2,"0"),FALSE)&lt;&gt;""),'NFR repository'!I15,0)</f>
        <v>#REF!</v>
      </c>
      <c r="AV15" s="233" t="e">
        <f ca="1">IF(AND('NFR repository'!H15=Params!$I$3,INDIRECT("'NFR repository'!L" &amp; ROW('NFR repository'!R15) &amp; "C" &amp; TEXT(36 + $AV$2,"0"),FALSE)&lt;&gt;""),'NFR repository'!I15,0)</f>
        <v>#REF!</v>
      </c>
      <c r="AW15" s="92">
        <f>IF(AND('NFR repository'!$H15=Params!$I$3,IFERROR(FIND(AW$1,'NFR repository'!$U15)&gt;0,FALSE)),'NFR repository'!$I15,0)</f>
        <v>0</v>
      </c>
      <c r="AX15" s="231">
        <f>IF(AND('NFR repository'!$H15=Params!$I$3,Synthesis!$I$8&lt;&gt;Params!$B$17,IFERROR(FIND(AX$1,'NFR repository'!$U15)&gt;0,FALSE)),'NFR repository'!$I15,0)</f>
        <v>0</v>
      </c>
      <c r="AY15" s="231">
        <f>IF(AND('NFR repository'!$H15=Params!$I$3,IFERROR(FIND(AY$1,'NFR repository'!$U15)&gt;0,FALSE)),'NFR repository'!$I15,0)</f>
        <v>0</v>
      </c>
      <c r="AZ15" s="231">
        <f>IF(AND('NFR repository'!$H15=Params!$I$3,IFERROR(FIND(AZ$1,'NFR repository'!$U15)&gt;0,FALSE)),'NFR repository'!$I15,0)</f>
        <v>0</v>
      </c>
      <c r="BA15" s="231">
        <f>IF(AND('NFR repository'!$H15=Params!$I$3,IFERROR(FIND(BA$1,'NFR repository'!$U15)&gt;0,FALSE)),'NFR repository'!$I15,0)</f>
        <v>0</v>
      </c>
      <c r="BB15" s="231">
        <f>IF(AND('NFR repository'!$H15=Params!$I$3,IFERROR(FIND(BB$1,'NFR repository'!$U15)&gt;0,FALSE)),'NFR repository'!$I15,0)</f>
        <v>0</v>
      </c>
      <c r="BC15" s="231">
        <f>IF(AND('NFR repository'!$H15=Params!$I$3,IFERROR(FIND(BC$1,'NFR repository'!$U15)&gt;0,FALSE)),'NFR repository'!$I15,0)</f>
        <v>0</v>
      </c>
      <c r="BD15" s="231">
        <f>IF(AND('NFR repository'!$H15=Params!$I$3,IFERROR(FIND(BD$1,'NFR repository'!$U15)&gt;0,FALSE)),'NFR repository'!$I15,0)</f>
        <v>0</v>
      </c>
      <c r="BE15" s="93">
        <f>IF(AND('NFR repository'!$H15=Params!$I$3,IFERROR(FIND(BE$1,'NFR repository'!$U15)&gt;0,FALSE)),'NFR repository'!$I15,0)</f>
        <v>0</v>
      </c>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row>
    <row r="16" spans="1:84" ht="90" x14ac:dyDescent="0.25">
      <c r="A16" s="2"/>
      <c r="B16" s="193" t="s">
        <v>501</v>
      </c>
      <c r="C16" s="194" t="s">
        <v>516</v>
      </c>
      <c r="D16" s="83" t="s">
        <v>785</v>
      </c>
      <c r="E16" s="36" t="s">
        <v>539</v>
      </c>
      <c r="F16" s="35" t="s">
        <v>544</v>
      </c>
      <c r="G16" s="78" t="s">
        <v>507</v>
      </c>
      <c r="H16" s="35" t="s">
        <v>472</v>
      </c>
      <c r="I16" s="72" t="s">
        <v>41</v>
      </c>
      <c r="J16" s="215"/>
      <c r="K16" s="215"/>
      <c r="L16" s="195"/>
      <c r="M16" s="79" t="s">
        <v>563</v>
      </c>
      <c r="N16" s="79" t="s">
        <v>559</v>
      </c>
      <c r="O16" s="51" t="s">
        <v>574</v>
      </c>
      <c r="P16" s="51" t="s">
        <v>574</v>
      </c>
      <c r="Q16" s="51" t="s">
        <v>46</v>
      </c>
      <c r="R16" s="51" t="s">
        <v>46</v>
      </c>
      <c r="S16" s="35" t="s">
        <v>46</v>
      </c>
      <c r="T16" s="35" t="s">
        <v>46</v>
      </c>
      <c r="U16" s="35" t="s">
        <v>127</v>
      </c>
      <c r="V16" s="35" t="s">
        <v>127</v>
      </c>
      <c r="W16" s="3"/>
      <c r="X16" s="3"/>
      <c r="Y16" s="3"/>
      <c r="Z16" s="3"/>
      <c r="AA16" s="3"/>
      <c r="AB16" s="3"/>
      <c r="AC16" s="3"/>
      <c r="AD16" s="3"/>
      <c r="AE16" s="3"/>
      <c r="AF16" s="3"/>
      <c r="AG16" s="3"/>
      <c r="AH16" s="3"/>
      <c r="AI16" s="3"/>
      <c r="AJ16" s="3"/>
      <c r="AK16" s="3"/>
      <c r="AL16" s="3"/>
      <c r="AM16" s="3"/>
      <c r="AN16" s="3" t="s">
        <v>128</v>
      </c>
      <c r="AO16" s="3"/>
      <c r="AP16" s="3"/>
      <c r="AQ16" s="3"/>
      <c r="AR16" s="2"/>
      <c r="AS16" s="92" t="e">
        <f ca="1">IF(AND('NFR repository'!H16=Params!$I$3,INDIRECT("'NFR repository'!L" &amp; ROW('NFR repository'!A16) &amp; "C" &amp; TEXT(24 + $AS$2,"0"),FALSE)&lt;&gt;""),'NFR repository'!I16,0)</f>
        <v>#REF!</v>
      </c>
      <c r="AT16" s="168" t="e">
        <f ca="1">IF(AND('NFR repository'!H16=Params!$I$3,INDIRECT("'NFR repository'!L" &amp; ROW('NFR repository'!R16) &amp; "C" &amp; TEXT(28 + $AT$2,"0"),FALSE)&lt;&gt;""),'NFR repository'!I16,0)</f>
        <v>#REF!</v>
      </c>
      <c r="AU16" s="168" t="e">
        <f ca="1">IF(AND('NFR repository'!H16=Params!$I$3,INDIRECT("'NFR repository'!L" &amp; ROW('NFR repository'!R16) &amp; "C" &amp; TEXT(32 + $AU$2,"0"),FALSE)&lt;&gt;""),'NFR repository'!I16,0)</f>
        <v>#REF!</v>
      </c>
      <c r="AV16" s="233" t="e">
        <f ca="1">IF(AND('NFR repository'!H16=Params!$I$3,INDIRECT("'NFR repository'!L" &amp; ROW('NFR repository'!R16) &amp; "C" &amp; TEXT(36 + $AV$2,"0"),FALSE)&lt;&gt;""),'NFR repository'!I16,0)</f>
        <v>#REF!</v>
      </c>
      <c r="AW16" s="92">
        <f>IF(AND('NFR repository'!$H16=Params!$I$3,IFERROR(FIND(AW$1,'NFR repository'!$U16)&gt;0,FALSE)),'NFR repository'!$I16,0)</f>
        <v>0</v>
      </c>
      <c r="AX16" s="231">
        <f>IF(AND('NFR repository'!$H16=Params!$I$3,Synthesis!$I$8&lt;&gt;Params!$B$17,IFERROR(FIND(AX$1,'NFR repository'!$U16)&gt;0,FALSE)),'NFR repository'!$I16,0)</f>
        <v>0</v>
      </c>
      <c r="AY16" s="231">
        <f>IF(AND('NFR repository'!$H16=Params!$I$3,IFERROR(FIND(AY$1,'NFR repository'!$U16)&gt;0,FALSE)),'NFR repository'!$I16,0)</f>
        <v>0</v>
      </c>
      <c r="AZ16" s="231">
        <f>IF(AND('NFR repository'!$H16=Params!$I$3,IFERROR(FIND(AZ$1,'NFR repository'!$U16)&gt;0,FALSE)),'NFR repository'!$I16,0)</f>
        <v>0</v>
      </c>
      <c r="BA16" s="231">
        <f>IF(AND('NFR repository'!$H16=Params!$I$3,IFERROR(FIND(BA$1,'NFR repository'!$U16)&gt;0,FALSE)),'NFR repository'!$I16,0)</f>
        <v>0</v>
      </c>
      <c r="BB16" s="231">
        <f>IF(AND('NFR repository'!$H16=Params!$I$3,IFERROR(FIND(BB$1,'NFR repository'!$U16)&gt;0,FALSE)),'NFR repository'!$I16,0)</f>
        <v>0</v>
      </c>
      <c r="BC16" s="231">
        <f>IF(AND('NFR repository'!$H16=Params!$I$3,IFERROR(FIND(BC$1,'NFR repository'!$U16)&gt;0,FALSE)),'NFR repository'!$I16,0)</f>
        <v>0</v>
      </c>
      <c r="BD16" s="231">
        <f>IF(AND('NFR repository'!$H16=Params!$I$3,IFERROR(FIND(BD$1,'NFR repository'!$U16)&gt;0,FALSE)),'NFR repository'!$I16,0)</f>
        <v>0</v>
      </c>
      <c r="BE16" s="93">
        <f>IF(AND('NFR repository'!$H16=Params!$I$3,IFERROR(FIND(BE$1,'NFR repository'!$U16)&gt;0,FALSE)),'NFR repository'!$I16,0)</f>
        <v>0</v>
      </c>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row>
    <row r="17" spans="1:84" ht="60" x14ac:dyDescent="0.25">
      <c r="A17" s="2"/>
      <c r="B17" s="193" t="s">
        <v>502</v>
      </c>
      <c r="C17" s="196" t="s">
        <v>514</v>
      </c>
      <c r="D17" s="36" t="s">
        <v>137</v>
      </c>
      <c r="E17" s="36" t="s">
        <v>540</v>
      </c>
      <c r="F17" s="51" t="s">
        <v>519</v>
      </c>
      <c r="G17" s="51" t="s">
        <v>565</v>
      </c>
      <c r="H17" s="35" t="s">
        <v>472</v>
      </c>
      <c r="I17" s="72" t="s">
        <v>41</v>
      </c>
      <c r="J17" s="215"/>
      <c r="K17" s="215"/>
      <c r="L17" s="195"/>
      <c r="M17" s="51" t="s">
        <v>563</v>
      </c>
      <c r="N17" s="51" t="s">
        <v>546</v>
      </c>
      <c r="O17" s="51" t="s">
        <v>574</v>
      </c>
      <c r="P17" s="51" t="s">
        <v>574</v>
      </c>
      <c r="Q17" s="51" t="s">
        <v>135</v>
      </c>
      <c r="R17" s="51" t="s">
        <v>135</v>
      </c>
      <c r="S17" s="35" t="s">
        <v>182</v>
      </c>
      <c r="T17" s="35" t="s">
        <v>46</v>
      </c>
      <c r="U17" s="35" t="s">
        <v>633</v>
      </c>
      <c r="V17" s="35" t="s">
        <v>497</v>
      </c>
      <c r="W17" s="3"/>
      <c r="X17" s="3"/>
      <c r="Y17" s="3"/>
      <c r="Z17" s="3"/>
      <c r="AA17" s="3"/>
      <c r="AB17" s="3"/>
      <c r="AC17" s="3"/>
      <c r="AD17" s="3"/>
      <c r="AE17" s="3"/>
      <c r="AF17" s="3"/>
      <c r="AG17" s="3"/>
      <c r="AH17" s="3"/>
      <c r="AI17" s="3"/>
      <c r="AJ17" s="3"/>
      <c r="AK17" s="3"/>
      <c r="AL17" s="3"/>
      <c r="AM17" s="3"/>
      <c r="AN17" s="3" t="s">
        <v>128</v>
      </c>
      <c r="AO17" s="3"/>
      <c r="AP17" s="3"/>
      <c r="AQ17" s="3"/>
      <c r="AR17" s="2"/>
      <c r="AS17" s="92" t="e">
        <f ca="1">IF(AND('NFR repository'!H17=Params!$I$3,INDIRECT("'NFR repository'!L" &amp; ROW('NFR repository'!A17) &amp; "C" &amp; TEXT(24 + $AS$2,"0"),FALSE)&lt;&gt;""),'NFR repository'!I17,0)</f>
        <v>#REF!</v>
      </c>
      <c r="AT17" s="168" t="e">
        <f ca="1">IF(AND('NFR repository'!H17=Params!$I$3,INDIRECT("'NFR repository'!L" &amp; ROW('NFR repository'!R17) &amp; "C" &amp; TEXT(28 + $AT$2,"0"),FALSE)&lt;&gt;""),'NFR repository'!I17,0)</f>
        <v>#REF!</v>
      </c>
      <c r="AU17" s="168" t="e">
        <f ca="1">IF(AND('NFR repository'!H17=Params!$I$3,INDIRECT("'NFR repository'!L" &amp; ROW('NFR repository'!R17) &amp; "C" &amp; TEXT(32 + $AU$2,"0"),FALSE)&lt;&gt;""),'NFR repository'!I17,0)</f>
        <v>#REF!</v>
      </c>
      <c r="AV17" s="233" t="e">
        <f ca="1">IF(AND('NFR repository'!H17=Params!$I$3,INDIRECT("'NFR repository'!L" &amp; ROW('NFR repository'!R17) &amp; "C" &amp; TEXT(36 + $AV$2,"0"),FALSE)&lt;&gt;""),'NFR repository'!I17,0)</f>
        <v>#REF!</v>
      </c>
      <c r="AW17" s="92">
        <f>IF(AND('NFR repository'!$H17=Params!$I$3,IFERROR(FIND(AW$1,'NFR repository'!$U17)&gt;0,FALSE)),'NFR repository'!$I17,0)</f>
        <v>0</v>
      </c>
      <c r="AX17" s="231">
        <f>IF(AND('NFR repository'!$H17=Params!$I$3,Synthesis!$I$8&lt;&gt;Params!$B$17,IFERROR(FIND(AX$1,'NFR repository'!$U17)&gt;0,FALSE)),'NFR repository'!$I17,0)</f>
        <v>0</v>
      </c>
      <c r="AY17" s="231">
        <f>IF(AND('NFR repository'!$H17=Params!$I$3,IFERROR(FIND(AY$1,'NFR repository'!$U17)&gt;0,FALSE)),'NFR repository'!$I17,0)</f>
        <v>0</v>
      </c>
      <c r="AZ17" s="231">
        <f>IF(AND('NFR repository'!$H17=Params!$I$3,IFERROR(FIND(AZ$1,'NFR repository'!$U17)&gt;0,FALSE)),'NFR repository'!$I17,0)</f>
        <v>0</v>
      </c>
      <c r="BA17" s="231">
        <f>IF(AND('NFR repository'!$H17=Params!$I$3,IFERROR(FIND(BA$1,'NFR repository'!$U17)&gt;0,FALSE)),'NFR repository'!$I17,0)</f>
        <v>0</v>
      </c>
      <c r="BB17" s="231">
        <f>IF(AND('NFR repository'!$H17=Params!$I$3,IFERROR(FIND(BB$1,'NFR repository'!$U17)&gt;0,FALSE)),'NFR repository'!$I17,0)</f>
        <v>0</v>
      </c>
      <c r="BC17" s="231">
        <f>IF(AND('NFR repository'!$H17=Params!$I$3,IFERROR(FIND(BC$1,'NFR repository'!$U17)&gt;0,FALSE)),'NFR repository'!$I17,0)</f>
        <v>0</v>
      </c>
      <c r="BD17" s="231">
        <f>IF(AND('NFR repository'!$H17=Params!$I$3,IFERROR(FIND(BD$1,'NFR repository'!$U17)&gt;0,FALSE)),'NFR repository'!$I17,0)</f>
        <v>0</v>
      </c>
      <c r="BE17" s="93">
        <f>IF(AND('NFR repository'!$H17=Params!$I$3,IFERROR(FIND(BE$1,'NFR repository'!$U17)&gt;0,FALSE)),'NFR repository'!$I17,0)</f>
        <v>0</v>
      </c>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row>
    <row r="18" spans="1:84" ht="90" x14ac:dyDescent="0.25">
      <c r="A18" s="2"/>
      <c r="B18" s="193" t="s">
        <v>503</v>
      </c>
      <c r="C18" s="194" t="s">
        <v>517</v>
      </c>
      <c r="D18" s="36" t="s">
        <v>137</v>
      </c>
      <c r="E18" s="36" t="s">
        <v>541</v>
      </c>
      <c r="F18" s="35" t="s">
        <v>279</v>
      </c>
      <c r="G18" s="78" t="s">
        <v>742</v>
      </c>
      <c r="H18" s="35" t="s">
        <v>472</v>
      </c>
      <c r="I18" s="72" t="s">
        <v>41</v>
      </c>
      <c r="J18" s="215"/>
      <c r="K18" s="215"/>
      <c r="L18" s="195"/>
      <c r="M18" s="79" t="s">
        <v>558</v>
      </c>
      <c r="N18" s="79" t="s">
        <v>564</v>
      </c>
      <c r="O18" s="51" t="s">
        <v>574</v>
      </c>
      <c r="P18" s="51" t="s">
        <v>577</v>
      </c>
      <c r="Q18" s="51" t="s">
        <v>46</v>
      </c>
      <c r="R18" s="51" t="s">
        <v>46</v>
      </c>
      <c r="S18" s="35" t="s">
        <v>46</v>
      </c>
      <c r="T18" s="35" t="s">
        <v>46</v>
      </c>
      <c r="U18" s="35" t="s">
        <v>127</v>
      </c>
      <c r="V18" s="35" t="s">
        <v>127</v>
      </c>
      <c r="W18" s="3"/>
      <c r="X18" s="3"/>
      <c r="Y18" s="3"/>
      <c r="Z18" s="3"/>
      <c r="AA18" s="3"/>
      <c r="AB18" s="3"/>
      <c r="AC18" s="3"/>
      <c r="AD18" s="3"/>
      <c r="AE18" s="3"/>
      <c r="AF18" s="3"/>
      <c r="AG18" s="3"/>
      <c r="AH18" s="3"/>
      <c r="AI18" s="3"/>
      <c r="AJ18" s="3"/>
      <c r="AK18" s="3"/>
      <c r="AL18" s="3"/>
      <c r="AM18" s="3"/>
      <c r="AN18" s="3" t="s">
        <v>128</v>
      </c>
      <c r="AO18" s="3"/>
      <c r="AP18" s="3"/>
      <c r="AQ18" s="3"/>
      <c r="AR18" s="2"/>
      <c r="AS18" s="92" t="e">
        <f ca="1">IF(AND('NFR repository'!H18=Params!$I$3,INDIRECT("'NFR repository'!L" &amp; ROW('NFR repository'!A18) &amp; "C" &amp; TEXT(24 + $AS$2,"0"),FALSE)&lt;&gt;""),'NFR repository'!I18,0)</f>
        <v>#REF!</v>
      </c>
      <c r="AT18" s="168" t="e">
        <f ca="1">IF(AND('NFR repository'!H18=Params!$I$3,INDIRECT("'NFR repository'!L" &amp; ROW('NFR repository'!R18) &amp; "C" &amp; TEXT(28 + $AT$2,"0"),FALSE)&lt;&gt;""),'NFR repository'!I18,0)</f>
        <v>#REF!</v>
      </c>
      <c r="AU18" s="168" t="e">
        <f ca="1">IF(AND('NFR repository'!H18=Params!$I$3,INDIRECT("'NFR repository'!L" &amp; ROW('NFR repository'!R18) &amp; "C" &amp; TEXT(32 + $AU$2,"0"),FALSE)&lt;&gt;""),'NFR repository'!I18,0)</f>
        <v>#REF!</v>
      </c>
      <c r="AV18" s="233" t="e">
        <f ca="1">IF(AND('NFR repository'!H18=Params!$I$3,INDIRECT("'NFR repository'!L" &amp; ROW('NFR repository'!R18) &amp; "C" &amp; TEXT(36 + $AV$2,"0"),FALSE)&lt;&gt;""),'NFR repository'!I18,0)</f>
        <v>#REF!</v>
      </c>
      <c r="AW18" s="92">
        <f>IF(AND('NFR repository'!$H18=Params!$I$3,IFERROR(FIND(AW$1,'NFR repository'!$U18)&gt;0,FALSE)),'NFR repository'!$I18,0)</f>
        <v>0</v>
      </c>
      <c r="AX18" s="231">
        <f>IF(AND('NFR repository'!$H18=Params!$I$3,Synthesis!$I$8&lt;&gt;Params!$B$17,IFERROR(FIND(AX$1,'NFR repository'!$U18)&gt;0,FALSE)),'NFR repository'!$I18,0)</f>
        <v>0</v>
      </c>
      <c r="AY18" s="231">
        <f>IF(AND('NFR repository'!$H18=Params!$I$3,IFERROR(FIND(AY$1,'NFR repository'!$U18)&gt;0,FALSE)),'NFR repository'!$I18,0)</f>
        <v>0</v>
      </c>
      <c r="AZ18" s="231">
        <f>IF(AND('NFR repository'!$H18=Params!$I$3,IFERROR(FIND(AZ$1,'NFR repository'!$U18)&gt;0,FALSE)),'NFR repository'!$I18,0)</f>
        <v>0</v>
      </c>
      <c r="BA18" s="231">
        <f>IF(AND('NFR repository'!$H18=Params!$I$3,IFERROR(FIND(BA$1,'NFR repository'!$U18)&gt;0,FALSE)),'NFR repository'!$I18,0)</f>
        <v>0</v>
      </c>
      <c r="BB18" s="231">
        <f>IF(AND('NFR repository'!$H18=Params!$I$3,IFERROR(FIND(BB$1,'NFR repository'!$U18)&gt;0,FALSE)),'NFR repository'!$I18,0)</f>
        <v>0</v>
      </c>
      <c r="BC18" s="231">
        <f>IF(AND('NFR repository'!$H18=Params!$I$3,IFERROR(FIND(BC$1,'NFR repository'!$U18)&gt;0,FALSE)),'NFR repository'!$I18,0)</f>
        <v>0</v>
      </c>
      <c r="BD18" s="231">
        <f>IF(AND('NFR repository'!$H18=Params!$I$3,IFERROR(FIND(BD$1,'NFR repository'!$U18)&gt;0,FALSE)),'NFR repository'!$I18,0)</f>
        <v>0</v>
      </c>
      <c r="BE18" s="93">
        <f>IF(AND('NFR repository'!$H18=Params!$I$3,IFERROR(FIND(BE$1,'NFR repository'!$U18)&gt;0,FALSE)),'NFR repository'!$I18,0)</f>
        <v>0</v>
      </c>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row>
    <row r="19" spans="1:84" ht="60" x14ac:dyDescent="0.25">
      <c r="A19" s="2"/>
      <c r="B19" s="193" t="s">
        <v>504</v>
      </c>
      <c r="C19" s="194" t="s">
        <v>523</v>
      </c>
      <c r="D19" s="83" t="s">
        <v>784</v>
      </c>
      <c r="E19" s="36" t="s">
        <v>510</v>
      </c>
      <c r="F19" s="35" t="s">
        <v>508</v>
      </c>
      <c r="G19" s="51" t="s">
        <v>509</v>
      </c>
      <c r="H19" s="35" t="s">
        <v>472</v>
      </c>
      <c r="I19" s="72" t="s">
        <v>41</v>
      </c>
      <c r="J19" s="215"/>
      <c r="K19" s="215"/>
      <c r="L19" s="195"/>
      <c r="M19" s="79" t="s">
        <v>558</v>
      </c>
      <c r="N19" s="79" t="s">
        <v>547</v>
      </c>
      <c r="O19" s="51" t="s">
        <v>573</v>
      </c>
      <c r="P19" s="51" t="s">
        <v>573</v>
      </c>
      <c r="Q19" s="51" t="s">
        <v>46</v>
      </c>
      <c r="R19" s="51" t="s">
        <v>46</v>
      </c>
      <c r="S19" s="35" t="s">
        <v>46</v>
      </c>
      <c r="T19" s="35" t="s">
        <v>46</v>
      </c>
      <c r="U19" s="35" t="s">
        <v>127</v>
      </c>
      <c r="V19" s="35" t="s">
        <v>127</v>
      </c>
      <c r="W19" s="3"/>
      <c r="X19" s="3"/>
      <c r="Y19" s="3"/>
      <c r="Z19" s="3"/>
      <c r="AA19" s="3"/>
      <c r="AB19" s="3"/>
      <c r="AC19" s="3"/>
      <c r="AD19" s="3"/>
      <c r="AE19" s="3"/>
      <c r="AF19" s="3"/>
      <c r="AG19" s="3"/>
      <c r="AH19" s="3"/>
      <c r="AI19" s="3"/>
      <c r="AJ19" s="3"/>
      <c r="AK19" s="3"/>
      <c r="AL19" s="3"/>
      <c r="AM19" s="3"/>
      <c r="AN19" s="3" t="s">
        <v>128</v>
      </c>
      <c r="AO19" s="3"/>
      <c r="AP19" s="3"/>
      <c r="AQ19" s="3"/>
      <c r="AR19" s="2"/>
      <c r="AS19" s="92" t="e">
        <f ca="1">IF(AND('NFR repository'!H19=Params!$I$3,INDIRECT("'NFR repository'!L" &amp; ROW('NFR repository'!A19) &amp; "C" &amp; TEXT(24 + $AS$2,"0"),FALSE)&lt;&gt;""),'NFR repository'!I19,0)</f>
        <v>#REF!</v>
      </c>
      <c r="AT19" s="168" t="e">
        <f ca="1">IF(AND('NFR repository'!H19=Params!$I$3,INDIRECT("'NFR repository'!L" &amp; ROW('NFR repository'!R19) &amp; "C" &amp; TEXT(28 + $AT$2,"0"),FALSE)&lt;&gt;""),'NFR repository'!I19,0)</f>
        <v>#REF!</v>
      </c>
      <c r="AU19" s="168" t="e">
        <f ca="1">IF(AND('NFR repository'!H19=Params!$I$3,INDIRECT("'NFR repository'!L" &amp; ROW('NFR repository'!R19) &amp; "C" &amp; TEXT(32 + $AU$2,"0"),FALSE)&lt;&gt;""),'NFR repository'!I19,0)</f>
        <v>#REF!</v>
      </c>
      <c r="AV19" s="233" t="e">
        <f ca="1">IF(AND('NFR repository'!H19=Params!$I$3,INDIRECT("'NFR repository'!L" &amp; ROW('NFR repository'!R19) &amp; "C" &amp; TEXT(36 + $AV$2,"0"),FALSE)&lt;&gt;""),'NFR repository'!I19,0)</f>
        <v>#REF!</v>
      </c>
      <c r="AW19" s="92">
        <f>IF(AND('NFR repository'!$H19=Params!$I$3,IFERROR(FIND(AW$1,'NFR repository'!$U19)&gt;0,FALSE)),'NFR repository'!$I19,0)</f>
        <v>0</v>
      </c>
      <c r="AX19" s="231">
        <f>IF(AND('NFR repository'!$H19=Params!$I$3,Synthesis!$I$8&lt;&gt;Params!$B$17,IFERROR(FIND(AX$1,'NFR repository'!$U19)&gt;0,FALSE)),'NFR repository'!$I19,0)</f>
        <v>0</v>
      </c>
      <c r="AY19" s="231">
        <f>IF(AND('NFR repository'!$H19=Params!$I$3,IFERROR(FIND(AY$1,'NFR repository'!$U19)&gt;0,FALSE)),'NFR repository'!$I19,0)</f>
        <v>0</v>
      </c>
      <c r="AZ19" s="231">
        <f>IF(AND('NFR repository'!$H19=Params!$I$3,IFERROR(FIND(AZ$1,'NFR repository'!$U19)&gt;0,FALSE)),'NFR repository'!$I19,0)</f>
        <v>0</v>
      </c>
      <c r="BA19" s="231">
        <f>IF(AND('NFR repository'!$H19=Params!$I$3,IFERROR(FIND(BA$1,'NFR repository'!$U19)&gt;0,FALSE)),'NFR repository'!$I19,0)</f>
        <v>0</v>
      </c>
      <c r="BB19" s="231">
        <f>IF(AND('NFR repository'!$H19=Params!$I$3,IFERROR(FIND(BB$1,'NFR repository'!$U19)&gt;0,FALSE)),'NFR repository'!$I19,0)</f>
        <v>0</v>
      </c>
      <c r="BC19" s="231">
        <f>IF(AND('NFR repository'!$H19=Params!$I$3,IFERROR(FIND(BC$1,'NFR repository'!$U19)&gt;0,FALSE)),'NFR repository'!$I19,0)</f>
        <v>0</v>
      </c>
      <c r="BD19" s="231">
        <f>IF(AND('NFR repository'!$H19=Params!$I$3,IFERROR(FIND(BD$1,'NFR repository'!$U19)&gt;0,FALSE)),'NFR repository'!$I19,0)</f>
        <v>0</v>
      </c>
      <c r="BE19" s="93">
        <f>IF(AND('NFR repository'!$H19=Params!$I$3,IFERROR(FIND(BE$1,'NFR repository'!$U19)&gt;0,FALSE)),'NFR repository'!$I19,0)</f>
        <v>0</v>
      </c>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row>
    <row r="20" spans="1:84" ht="135" x14ac:dyDescent="0.25">
      <c r="A20" s="2"/>
      <c r="B20" s="193" t="s">
        <v>505</v>
      </c>
      <c r="C20" s="194" t="s">
        <v>529</v>
      </c>
      <c r="D20" s="83" t="s">
        <v>783</v>
      </c>
      <c r="E20" s="36" t="s">
        <v>542</v>
      </c>
      <c r="F20" s="35" t="s">
        <v>545</v>
      </c>
      <c r="G20" s="51" t="s">
        <v>511</v>
      </c>
      <c r="H20" s="35" t="s">
        <v>472</v>
      </c>
      <c r="I20" s="72" t="s">
        <v>41</v>
      </c>
      <c r="J20" s="215"/>
      <c r="K20" s="215"/>
      <c r="L20" s="195"/>
      <c r="M20" s="79" t="s">
        <v>558</v>
      </c>
      <c r="N20" s="79" t="s">
        <v>566</v>
      </c>
      <c r="O20" s="51" t="s">
        <v>574</v>
      </c>
      <c r="P20" s="51" t="s">
        <v>574</v>
      </c>
      <c r="Q20" s="51" t="s">
        <v>46</v>
      </c>
      <c r="R20" s="51" t="s">
        <v>46</v>
      </c>
      <c r="S20" s="35" t="s">
        <v>46</v>
      </c>
      <c r="T20" s="35" t="s">
        <v>46</v>
      </c>
      <c r="U20" s="35" t="s">
        <v>127</v>
      </c>
      <c r="V20" s="35" t="s">
        <v>127</v>
      </c>
      <c r="W20" s="11"/>
      <c r="X20" s="11"/>
      <c r="Y20" s="11"/>
      <c r="Z20" s="11"/>
      <c r="AA20" s="3"/>
      <c r="AB20" s="3"/>
      <c r="AC20" s="3"/>
      <c r="AD20" s="3"/>
      <c r="AE20" s="3"/>
      <c r="AF20" s="3"/>
      <c r="AG20" s="3"/>
      <c r="AH20" s="3"/>
      <c r="AI20" s="3"/>
      <c r="AJ20" s="3"/>
      <c r="AK20" s="3"/>
      <c r="AL20" s="3"/>
      <c r="AM20" s="3"/>
      <c r="AN20" s="3" t="s">
        <v>128</v>
      </c>
      <c r="AO20" s="3"/>
      <c r="AP20" s="3"/>
      <c r="AQ20" s="3"/>
      <c r="AR20" s="2"/>
      <c r="AS20" s="92" t="e">
        <f ca="1">IF(AND('NFR repository'!H20=Params!$I$3,INDIRECT("'NFR repository'!L" &amp; ROW('NFR repository'!A20) &amp; "C" &amp; TEXT(24 + $AS$2,"0"),FALSE)&lt;&gt;""),'NFR repository'!I20,0)</f>
        <v>#REF!</v>
      </c>
      <c r="AT20" s="168" t="e">
        <f ca="1">IF(AND('NFR repository'!H20=Params!$I$3,INDIRECT("'NFR repository'!L" &amp; ROW('NFR repository'!R20) &amp; "C" &amp; TEXT(28 + $AT$2,"0"),FALSE)&lt;&gt;""),'NFR repository'!I20,0)</f>
        <v>#REF!</v>
      </c>
      <c r="AU20" s="168" t="e">
        <f ca="1">IF(AND('NFR repository'!H20=Params!$I$3,INDIRECT("'NFR repository'!L" &amp; ROW('NFR repository'!R20) &amp; "C" &amp; TEXT(32 + $AU$2,"0"),FALSE)&lt;&gt;""),'NFR repository'!I20,0)</f>
        <v>#REF!</v>
      </c>
      <c r="AV20" s="233" t="e">
        <f ca="1">IF(AND('NFR repository'!H20=Params!$I$3,INDIRECT("'NFR repository'!L" &amp; ROW('NFR repository'!R20) &amp; "C" &amp; TEXT(36 + $AV$2,"0"),FALSE)&lt;&gt;""),'NFR repository'!I20,0)</f>
        <v>#REF!</v>
      </c>
      <c r="AW20" s="92">
        <f>IF(AND('NFR repository'!$H20=Params!$I$3,IFERROR(FIND(AW$1,'NFR repository'!$U20)&gt;0,FALSE)),'NFR repository'!$I20,0)</f>
        <v>0</v>
      </c>
      <c r="AX20" s="231">
        <f>IF(AND('NFR repository'!$H20=Params!$I$3,Synthesis!$I$8&lt;&gt;Params!$B$17,IFERROR(FIND(AX$1,'NFR repository'!$U20)&gt;0,FALSE)),'NFR repository'!$I20,0)</f>
        <v>0</v>
      </c>
      <c r="AY20" s="231">
        <f>IF(AND('NFR repository'!$H20=Params!$I$3,IFERROR(FIND(AY$1,'NFR repository'!$U20)&gt;0,FALSE)),'NFR repository'!$I20,0)</f>
        <v>0</v>
      </c>
      <c r="AZ20" s="231">
        <f>IF(AND('NFR repository'!$H20=Params!$I$3,IFERROR(FIND(AZ$1,'NFR repository'!$U20)&gt;0,FALSE)),'NFR repository'!$I20,0)</f>
        <v>0</v>
      </c>
      <c r="BA20" s="231">
        <f>IF(AND('NFR repository'!$H20=Params!$I$3,IFERROR(FIND(BA$1,'NFR repository'!$U20)&gt;0,FALSE)),'NFR repository'!$I20,0)</f>
        <v>0</v>
      </c>
      <c r="BB20" s="231">
        <f>IF(AND('NFR repository'!$H20=Params!$I$3,IFERROR(FIND(BB$1,'NFR repository'!$U20)&gt;0,FALSE)),'NFR repository'!$I20,0)</f>
        <v>0</v>
      </c>
      <c r="BC20" s="231">
        <f>IF(AND('NFR repository'!$H20=Params!$I$3,IFERROR(FIND(BC$1,'NFR repository'!$U20)&gt;0,FALSE)),'NFR repository'!$I20,0)</f>
        <v>0</v>
      </c>
      <c r="BD20" s="231">
        <f>IF(AND('NFR repository'!$H20=Params!$I$3,IFERROR(FIND(BD$1,'NFR repository'!$U20)&gt;0,FALSE)),'NFR repository'!$I20,0)</f>
        <v>0</v>
      </c>
      <c r="BE20" s="93">
        <f>IF(AND('NFR repository'!$H20=Params!$I$3,IFERROR(FIND(BE$1,'NFR repository'!$U20)&gt;0,FALSE)),'NFR repository'!$I20,0)</f>
        <v>0</v>
      </c>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row>
    <row r="21" spans="1:84" ht="45" x14ac:dyDescent="0.25">
      <c r="A21" s="2"/>
      <c r="B21" s="210" t="s">
        <v>801</v>
      </c>
      <c r="C21" s="204" t="s">
        <v>806</v>
      </c>
      <c r="D21" s="202" t="s">
        <v>137</v>
      </c>
      <c r="E21" s="87"/>
      <c r="F21" s="38" t="s">
        <v>279</v>
      </c>
      <c r="G21" s="78" t="s">
        <v>804</v>
      </c>
      <c r="H21" s="35" t="s">
        <v>472</v>
      </c>
      <c r="I21" s="72" t="s">
        <v>41</v>
      </c>
      <c r="J21" s="228"/>
      <c r="K21" s="228"/>
      <c r="L21" s="201"/>
      <c r="M21" s="80" t="s">
        <v>558</v>
      </c>
      <c r="N21" s="80" t="s">
        <v>802</v>
      </c>
      <c r="O21" s="78" t="s">
        <v>574</v>
      </c>
      <c r="P21" s="78" t="s">
        <v>574</v>
      </c>
      <c r="Q21" s="78" t="s">
        <v>46</v>
      </c>
      <c r="R21" s="78" t="s">
        <v>46</v>
      </c>
      <c r="S21" s="38" t="s">
        <v>46</v>
      </c>
      <c r="T21" s="38" t="s">
        <v>46</v>
      </c>
      <c r="U21" s="38" t="s">
        <v>724</v>
      </c>
      <c r="V21" s="38" t="s">
        <v>146</v>
      </c>
      <c r="W21" s="11"/>
      <c r="X21" s="11"/>
      <c r="Y21" s="11"/>
      <c r="Z21" s="11"/>
      <c r="AA21" s="11"/>
      <c r="AB21" s="11"/>
      <c r="AC21" s="11"/>
      <c r="AD21" s="11"/>
      <c r="AE21" s="11"/>
      <c r="AF21" s="11"/>
      <c r="AG21" s="11"/>
      <c r="AH21" s="11"/>
      <c r="AI21" s="11"/>
      <c r="AJ21" s="11"/>
      <c r="AK21" s="11"/>
      <c r="AL21" s="11"/>
      <c r="AM21" s="11"/>
      <c r="AN21" s="11"/>
      <c r="AO21" s="11" t="s">
        <v>128</v>
      </c>
      <c r="AP21" s="11"/>
      <c r="AQ21" s="11"/>
      <c r="AR21" s="2"/>
      <c r="AS21" s="92" t="e">
        <f ca="1">IF(AND('NFR repository'!H21=Params!$I$3,INDIRECT("'NFR repository'!L" &amp; ROW('NFR repository'!A21) &amp; "C" &amp; TEXT(24 + $AS$2,"0"),FALSE)&lt;&gt;""),'NFR repository'!I21,0)</f>
        <v>#REF!</v>
      </c>
      <c r="AT21" s="231" t="e">
        <f ca="1">IF(AND('NFR repository'!H21=Params!$I$3,INDIRECT("'NFR repository'!L" &amp; ROW('NFR repository'!R21) &amp; "C" &amp; TEXT(28 + $AT$2,"0"),FALSE)&lt;&gt;""),'NFR repository'!I21,0)</f>
        <v>#REF!</v>
      </c>
      <c r="AU21" s="231" t="e">
        <f ca="1">IF(AND('NFR repository'!H21=Params!$I$3,INDIRECT("'NFR repository'!L" &amp; ROW('NFR repository'!R21) &amp; "C" &amp; TEXT(32 + $AU$2,"0"),FALSE)&lt;&gt;""),'NFR repository'!I21,0)</f>
        <v>#REF!</v>
      </c>
      <c r="AV21" s="233" t="e">
        <f ca="1">IF(AND('NFR repository'!H21=Params!$I$3,INDIRECT("'NFR repository'!L" &amp; ROW('NFR repository'!R21) &amp; "C" &amp; TEXT(36 + $AV$2,"0"),FALSE)&lt;&gt;""),'NFR repository'!I21,0)</f>
        <v>#REF!</v>
      </c>
      <c r="AW21" s="92">
        <f>IF(AND('NFR repository'!$H21=Params!$I$3,IFERROR(FIND(AW$1,'NFR repository'!$U21)&gt;0,FALSE)),'NFR repository'!$I21,0)</f>
        <v>0</v>
      </c>
      <c r="AX21" s="231">
        <f>IF(AND('NFR repository'!$H21=Params!$I$3,Synthesis!$I$8&lt;&gt;Params!$B$17,IFERROR(FIND(AX$1,'NFR repository'!$U21)&gt;0,FALSE)),'NFR repository'!$I21,0)</f>
        <v>0</v>
      </c>
      <c r="AY21" s="231">
        <f>IF(AND('NFR repository'!$H21=Params!$I$3,IFERROR(FIND(AY$1,'NFR repository'!$U21)&gt;0,FALSE)),'NFR repository'!$I21,0)</f>
        <v>0</v>
      </c>
      <c r="AZ21" s="231">
        <f>IF(AND('NFR repository'!$H21=Params!$I$3,IFERROR(FIND(AZ$1,'NFR repository'!$U21)&gt;0,FALSE)),'NFR repository'!$I21,0)</f>
        <v>0</v>
      </c>
      <c r="BA21" s="231">
        <f>IF(AND('NFR repository'!$H21=Params!$I$3,IFERROR(FIND(BA$1,'NFR repository'!$U21)&gt;0,FALSE)),'NFR repository'!$I21,0)</f>
        <v>0</v>
      </c>
      <c r="BB21" s="231">
        <f>IF(AND('NFR repository'!$H21=Params!$I$3,IFERROR(FIND(BB$1,'NFR repository'!$U21)&gt;0,FALSE)),'NFR repository'!$I21,0)</f>
        <v>0</v>
      </c>
      <c r="BC21" s="231">
        <f>IF(AND('NFR repository'!$H21=Params!$I$3,IFERROR(FIND(BC$1,'NFR repository'!$U21)&gt;0,FALSE)),'NFR repository'!$I21,0)</f>
        <v>0</v>
      </c>
      <c r="BD21" s="231">
        <f>IF(AND('NFR repository'!$H21=Params!$I$3,IFERROR(FIND(BD$1,'NFR repository'!$U21)&gt;0,FALSE)),'NFR repository'!$I21,0)</f>
        <v>0</v>
      </c>
      <c r="BE21" s="93">
        <f>IF(AND('NFR repository'!$H21=Params!$I$3,IFERROR(FIND(BE$1,'NFR repository'!$U21)&gt;0,FALSE)),'NFR repository'!$I21,0)</f>
        <v>0</v>
      </c>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row>
    <row r="22" spans="1:84" ht="45" x14ac:dyDescent="0.25">
      <c r="A22" s="2"/>
      <c r="B22" s="210" t="s">
        <v>800</v>
      </c>
      <c r="C22" s="204" t="s">
        <v>807</v>
      </c>
      <c r="D22" s="202" t="s">
        <v>137</v>
      </c>
      <c r="E22" s="87" t="s">
        <v>840</v>
      </c>
      <c r="F22" s="38" t="s">
        <v>583</v>
      </c>
      <c r="G22" s="78" t="s">
        <v>804</v>
      </c>
      <c r="H22" s="35" t="s">
        <v>472</v>
      </c>
      <c r="I22" s="72" t="s">
        <v>41</v>
      </c>
      <c r="J22" s="228"/>
      <c r="K22" s="228"/>
      <c r="L22" s="201"/>
      <c r="M22" s="80" t="s">
        <v>130</v>
      </c>
      <c r="N22" s="80" t="s">
        <v>803</v>
      </c>
      <c r="O22" s="78" t="s">
        <v>576</v>
      </c>
      <c r="P22" s="78" t="s">
        <v>576</v>
      </c>
      <c r="Q22" s="78" t="s">
        <v>46</v>
      </c>
      <c r="R22" s="78" t="s">
        <v>46</v>
      </c>
      <c r="S22" s="38" t="s">
        <v>46</v>
      </c>
      <c r="T22" s="38" t="s">
        <v>46</v>
      </c>
      <c r="U22" s="38" t="s">
        <v>724</v>
      </c>
      <c r="V22" s="40" t="s">
        <v>591</v>
      </c>
      <c r="W22" s="11"/>
      <c r="X22" s="11"/>
      <c r="Y22" s="11"/>
      <c r="Z22" s="11"/>
      <c r="AA22" s="11"/>
      <c r="AB22" s="11"/>
      <c r="AC22" s="11"/>
      <c r="AD22" s="11"/>
      <c r="AE22" s="11"/>
      <c r="AF22" s="11"/>
      <c r="AG22" s="11"/>
      <c r="AH22" s="11"/>
      <c r="AI22" s="11"/>
      <c r="AJ22" s="11"/>
      <c r="AK22" s="11"/>
      <c r="AL22" s="11"/>
      <c r="AM22" s="11"/>
      <c r="AN22" s="11"/>
      <c r="AO22" s="11" t="s">
        <v>128</v>
      </c>
      <c r="AP22" s="11"/>
      <c r="AQ22" s="11"/>
      <c r="AR22" s="2"/>
      <c r="AS22" s="92" t="e">
        <f ca="1">IF(AND('NFR repository'!H22=Params!$I$3,INDIRECT("'NFR repository'!L" &amp; ROW('NFR repository'!A22) &amp; "C" &amp; TEXT(24 + $AS$2,"0"),FALSE)&lt;&gt;""),'NFR repository'!I22,0)</f>
        <v>#REF!</v>
      </c>
      <c r="AT22" s="231" t="e">
        <f ca="1">IF(AND('NFR repository'!H22=Params!$I$3,INDIRECT("'NFR repository'!L" &amp; ROW('NFR repository'!R22) &amp; "C" &amp; TEXT(28 + $AT$2,"0"),FALSE)&lt;&gt;""),'NFR repository'!I22,0)</f>
        <v>#REF!</v>
      </c>
      <c r="AU22" s="231" t="e">
        <f ca="1">IF(AND('NFR repository'!H22=Params!$I$3,INDIRECT("'NFR repository'!L" &amp; ROW('NFR repository'!R22) &amp; "C" &amp; TEXT(32 + $AU$2,"0"),FALSE)&lt;&gt;""),'NFR repository'!I22,0)</f>
        <v>#REF!</v>
      </c>
      <c r="AV22" s="233" t="e">
        <f ca="1">IF(AND('NFR repository'!H22=Params!$I$3,INDIRECT("'NFR repository'!L" &amp; ROW('NFR repository'!R22) &amp; "C" &amp; TEXT(36 + $AV$2,"0"),FALSE)&lt;&gt;""),'NFR repository'!I22,0)</f>
        <v>#REF!</v>
      </c>
      <c r="AW22" s="92">
        <f>IF(AND('NFR repository'!$H22=Params!$I$3,IFERROR(FIND(AW$1,'NFR repository'!$U22)&gt;0,FALSE)),'NFR repository'!$I22,0)</f>
        <v>0</v>
      </c>
      <c r="AX22" s="231">
        <f>IF(AND('NFR repository'!$H22=Params!$I$3,Synthesis!$I$8&lt;&gt;Params!$B$17,IFERROR(FIND(AX$1,'NFR repository'!$U22)&gt;0,FALSE)),'NFR repository'!$I22,0)</f>
        <v>0</v>
      </c>
      <c r="AY22" s="231">
        <f>IF(AND('NFR repository'!$H22=Params!$I$3,IFERROR(FIND(AY$1,'NFR repository'!$U22)&gt;0,FALSE)),'NFR repository'!$I22,0)</f>
        <v>0</v>
      </c>
      <c r="AZ22" s="231">
        <f>IF(AND('NFR repository'!$H22=Params!$I$3,IFERROR(FIND(AZ$1,'NFR repository'!$U22)&gt;0,FALSE)),'NFR repository'!$I22,0)</f>
        <v>0</v>
      </c>
      <c r="BA22" s="231">
        <f>IF(AND('NFR repository'!$H22=Params!$I$3,IFERROR(FIND(BA$1,'NFR repository'!$U22)&gt;0,FALSE)),'NFR repository'!$I22,0)</f>
        <v>0</v>
      </c>
      <c r="BB22" s="231">
        <f>IF(AND('NFR repository'!$H22=Params!$I$3,IFERROR(FIND(BB$1,'NFR repository'!$U22)&gt;0,FALSE)),'NFR repository'!$I22,0)</f>
        <v>0</v>
      </c>
      <c r="BC22" s="231">
        <f>IF(AND('NFR repository'!$H22=Params!$I$3,IFERROR(FIND(BC$1,'NFR repository'!$U22)&gt;0,FALSE)),'NFR repository'!$I22,0)</f>
        <v>0</v>
      </c>
      <c r="BD22" s="231">
        <f>IF(AND('NFR repository'!$H22=Params!$I$3,IFERROR(FIND(BD$1,'NFR repository'!$U22)&gt;0,FALSE)),'NFR repository'!$I22,0)</f>
        <v>0</v>
      </c>
      <c r="BE22" s="93">
        <f>IF(AND('NFR repository'!$H22=Params!$I$3,IFERROR(FIND(BE$1,'NFR repository'!$U22)&gt;0,FALSE)),'NFR repository'!$I22,0)</f>
        <v>0</v>
      </c>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row>
    <row r="23" spans="1:84" ht="30" x14ac:dyDescent="0.25">
      <c r="A23" s="2"/>
      <c r="B23" s="210" t="s">
        <v>805</v>
      </c>
      <c r="C23" s="204" t="s">
        <v>825</v>
      </c>
      <c r="D23" s="202" t="s">
        <v>137</v>
      </c>
      <c r="E23" s="87" t="s">
        <v>839</v>
      </c>
      <c r="F23" s="38" t="s">
        <v>583</v>
      </c>
      <c r="G23" s="78" t="s">
        <v>826</v>
      </c>
      <c r="H23" s="35" t="s">
        <v>472</v>
      </c>
      <c r="I23" s="72" t="s">
        <v>41</v>
      </c>
      <c r="J23" s="228"/>
      <c r="K23" s="228"/>
      <c r="L23" s="201"/>
      <c r="M23" s="80" t="s">
        <v>130</v>
      </c>
      <c r="N23" s="80" t="s">
        <v>803</v>
      </c>
      <c r="O23" s="78" t="s">
        <v>576</v>
      </c>
      <c r="P23" s="78" t="s">
        <v>577</v>
      </c>
      <c r="Q23" s="78" t="s">
        <v>46</v>
      </c>
      <c r="R23" s="78" t="s">
        <v>46</v>
      </c>
      <c r="S23" s="38" t="s">
        <v>46</v>
      </c>
      <c r="T23" s="38" t="s">
        <v>46</v>
      </c>
      <c r="U23" s="38" t="s">
        <v>724</v>
      </c>
      <c r="V23" s="40" t="s">
        <v>591</v>
      </c>
      <c r="W23" s="11"/>
      <c r="X23" s="11"/>
      <c r="Y23" s="11"/>
      <c r="Z23" s="11"/>
      <c r="AA23" s="11"/>
      <c r="AB23" s="11"/>
      <c r="AC23" s="11"/>
      <c r="AD23" s="11"/>
      <c r="AE23" s="11"/>
      <c r="AF23" s="11"/>
      <c r="AG23" s="11"/>
      <c r="AH23" s="11"/>
      <c r="AI23" s="11"/>
      <c r="AJ23" s="11"/>
      <c r="AK23" s="11"/>
      <c r="AL23" s="11"/>
      <c r="AM23" s="11"/>
      <c r="AN23" s="11"/>
      <c r="AO23" s="11" t="s">
        <v>128</v>
      </c>
      <c r="AP23" s="11"/>
      <c r="AQ23" s="11"/>
      <c r="AR23" s="2"/>
      <c r="AS23" s="92" t="e">
        <f ca="1">IF(AND('NFR repository'!H23=Params!$I$3,INDIRECT("'NFR repository'!L" &amp; ROW('NFR repository'!A23) &amp; "C" &amp; TEXT(24 + $AS$2,"0"),FALSE)&lt;&gt;""),'NFR repository'!I23,0)</f>
        <v>#REF!</v>
      </c>
      <c r="AT23" s="231" t="e">
        <f ca="1">IF(AND('NFR repository'!H23=Params!$I$3,INDIRECT("'NFR repository'!L" &amp; ROW('NFR repository'!R23) &amp; "C" &amp; TEXT(28 + $AT$2,"0"),FALSE)&lt;&gt;""),'NFR repository'!I23,0)</f>
        <v>#REF!</v>
      </c>
      <c r="AU23" s="231" t="e">
        <f ca="1">IF(AND('NFR repository'!H23=Params!$I$3,INDIRECT("'NFR repository'!L" &amp; ROW('NFR repository'!R23) &amp; "C" &amp; TEXT(32 + $AU$2,"0"),FALSE)&lt;&gt;""),'NFR repository'!I23,0)</f>
        <v>#REF!</v>
      </c>
      <c r="AV23" s="233" t="e">
        <f ca="1">IF(AND('NFR repository'!H23=Params!$I$3,INDIRECT("'NFR repository'!L" &amp; ROW('NFR repository'!R23) &amp; "C" &amp; TEXT(36 + $AV$2,"0"),FALSE)&lt;&gt;""),'NFR repository'!I23,0)</f>
        <v>#REF!</v>
      </c>
      <c r="AW23" s="92">
        <f>IF(AND('NFR repository'!$H23=Params!$I$3,IFERROR(FIND(AW$1,'NFR repository'!$U23)&gt;0,FALSE)),'NFR repository'!$I23,0)</f>
        <v>0</v>
      </c>
      <c r="AX23" s="231">
        <f>IF(AND('NFR repository'!$H23=Params!$I$3,Synthesis!$I$8&lt;&gt;Params!$B$17,IFERROR(FIND(AX$1,'NFR repository'!$U23)&gt;0,FALSE)),'NFR repository'!$I23,0)</f>
        <v>0</v>
      </c>
      <c r="AY23" s="231">
        <f>IF(AND('NFR repository'!$H23=Params!$I$3,IFERROR(FIND(AY$1,'NFR repository'!$U23)&gt;0,FALSE)),'NFR repository'!$I23,0)</f>
        <v>0</v>
      </c>
      <c r="AZ23" s="231">
        <f>IF(AND('NFR repository'!$H23=Params!$I$3,IFERROR(FIND(AZ$1,'NFR repository'!$U23)&gt;0,FALSE)),'NFR repository'!$I23,0)</f>
        <v>0</v>
      </c>
      <c r="BA23" s="231">
        <f>IF(AND('NFR repository'!$H23=Params!$I$3,IFERROR(FIND(BA$1,'NFR repository'!$U23)&gt;0,FALSE)),'NFR repository'!$I23,0)</f>
        <v>0</v>
      </c>
      <c r="BB23" s="231">
        <f>IF(AND('NFR repository'!$H23=Params!$I$3,IFERROR(FIND(BB$1,'NFR repository'!$U23)&gt;0,FALSE)),'NFR repository'!$I23,0)</f>
        <v>0</v>
      </c>
      <c r="BC23" s="231">
        <f>IF(AND('NFR repository'!$H23=Params!$I$3,IFERROR(FIND(BC$1,'NFR repository'!$U23)&gt;0,FALSE)),'NFR repository'!$I23,0)</f>
        <v>0</v>
      </c>
      <c r="BD23" s="231">
        <f>IF(AND('NFR repository'!$H23=Params!$I$3,IFERROR(FIND(BD$1,'NFR repository'!$U23)&gt;0,FALSE)),'NFR repository'!$I23,0)</f>
        <v>0</v>
      </c>
      <c r="BE23" s="93">
        <f>IF(AND('NFR repository'!$H23=Params!$I$3,IFERROR(FIND(BE$1,'NFR repository'!$U23)&gt;0,FALSE)),'NFR repository'!$I23,0)</f>
        <v>0</v>
      </c>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row>
    <row r="24" spans="1:84" ht="30" x14ac:dyDescent="0.25">
      <c r="A24" s="2"/>
      <c r="B24" s="210" t="s">
        <v>823</v>
      </c>
      <c r="C24" s="204" t="s">
        <v>824</v>
      </c>
      <c r="D24" s="202" t="s">
        <v>137</v>
      </c>
      <c r="E24" s="87" t="s">
        <v>838</v>
      </c>
      <c r="F24" s="38" t="s">
        <v>583</v>
      </c>
      <c r="G24" s="78" t="s">
        <v>826</v>
      </c>
      <c r="H24" s="35" t="s">
        <v>472</v>
      </c>
      <c r="I24" s="72" t="s">
        <v>41</v>
      </c>
      <c r="J24" s="228"/>
      <c r="K24" s="228"/>
      <c r="L24" s="201"/>
      <c r="M24" s="80" t="s">
        <v>130</v>
      </c>
      <c r="N24" s="80" t="s">
        <v>803</v>
      </c>
      <c r="O24" s="78" t="s">
        <v>576</v>
      </c>
      <c r="P24" s="78" t="s">
        <v>577</v>
      </c>
      <c r="Q24" s="78" t="s">
        <v>46</v>
      </c>
      <c r="R24" s="78" t="s">
        <v>46</v>
      </c>
      <c r="S24" s="38" t="s">
        <v>46</v>
      </c>
      <c r="T24" s="38" t="s">
        <v>46</v>
      </c>
      <c r="U24" s="38" t="s">
        <v>724</v>
      </c>
      <c r="V24" s="40" t="s">
        <v>591</v>
      </c>
      <c r="W24" s="11"/>
      <c r="X24" s="11"/>
      <c r="Y24" s="11"/>
      <c r="Z24" s="11"/>
      <c r="AA24" s="11"/>
      <c r="AB24" s="11"/>
      <c r="AC24" s="11"/>
      <c r="AD24" s="11"/>
      <c r="AE24" s="11"/>
      <c r="AF24" s="11"/>
      <c r="AG24" s="11"/>
      <c r="AH24" s="11"/>
      <c r="AI24" s="11"/>
      <c r="AJ24" s="11"/>
      <c r="AK24" s="11"/>
      <c r="AL24" s="11"/>
      <c r="AM24" s="11"/>
      <c r="AN24" s="11"/>
      <c r="AO24" s="11" t="s">
        <v>128</v>
      </c>
      <c r="AP24" s="11"/>
      <c r="AQ24" s="11"/>
      <c r="AR24" s="2"/>
      <c r="AS24" s="92" t="e">
        <f ca="1">IF(AND('NFR repository'!H24=Params!$I$3,INDIRECT("'NFR repository'!L" &amp; ROW('NFR repository'!A24) &amp; "C" &amp; TEXT(24 + $AS$2,"0"),FALSE)&lt;&gt;""),'NFR repository'!I24,0)</f>
        <v>#REF!</v>
      </c>
      <c r="AT24" s="252" t="e">
        <f ca="1">IF(AND('NFR repository'!H24=Params!$I$3,INDIRECT("'NFR repository'!L" &amp; ROW('NFR repository'!R24) &amp; "C" &amp; TEXT(28 + $AT$2,"0"),FALSE)&lt;&gt;""),'NFR repository'!I24,0)</f>
        <v>#REF!</v>
      </c>
      <c r="AU24" s="252" t="e">
        <f ca="1">IF(AND('NFR repository'!H24=Params!$I$3,INDIRECT("'NFR repository'!L" &amp; ROW('NFR repository'!R24) &amp; "C" &amp; TEXT(32 + $AU$2,"0"),FALSE)&lt;&gt;""),'NFR repository'!I24,0)</f>
        <v>#REF!</v>
      </c>
      <c r="AV24" s="253" t="e">
        <f ca="1">IF(AND('NFR repository'!H24=Params!$I$3,INDIRECT("'NFR repository'!L" &amp; ROW('NFR repository'!R24) &amp; "C" &amp; TEXT(36 + $AV$2,"0"),FALSE)&lt;&gt;""),'NFR repository'!I24,0)</f>
        <v>#REF!</v>
      </c>
      <c r="AW24" s="92">
        <f>IF(AND('NFR repository'!$H24=Params!$I$3,IFERROR(FIND(AW$1,'NFR repository'!$U24)&gt;0,FALSE)),'NFR repository'!$I24,0)</f>
        <v>0</v>
      </c>
      <c r="AX24" s="252">
        <f>IF(AND('NFR repository'!$H24=Params!$I$3,Synthesis!$I$8&lt;&gt;Params!$B$17,IFERROR(FIND(AX$1,'NFR repository'!$U24)&gt;0,FALSE)),'NFR repository'!$I24,0)</f>
        <v>0</v>
      </c>
      <c r="AY24" s="252">
        <f>IF(AND('NFR repository'!$H24=Params!$I$3,IFERROR(FIND(AY$1,'NFR repository'!$U24)&gt;0,FALSE)),'NFR repository'!$I24,0)</f>
        <v>0</v>
      </c>
      <c r="AZ24" s="252">
        <f>IF(AND('NFR repository'!$H24=Params!$I$3,IFERROR(FIND(AZ$1,'NFR repository'!$U24)&gt;0,FALSE)),'NFR repository'!$I24,0)</f>
        <v>0</v>
      </c>
      <c r="BA24" s="252">
        <f>IF(AND('NFR repository'!$H24=Params!$I$3,IFERROR(FIND(BA$1,'NFR repository'!$U24)&gt;0,FALSE)),'NFR repository'!$I24,0)</f>
        <v>0</v>
      </c>
      <c r="BB24" s="252">
        <f>IF(AND('NFR repository'!$H24=Params!$I$3,IFERROR(FIND(BB$1,'NFR repository'!$U24)&gt;0,FALSE)),'NFR repository'!$I24,0)</f>
        <v>0</v>
      </c>
      <c r="BC24" s="252">
        <f>IF(AND('NFR repository'!$H24=Params!$I$3,IFERROR(FIND(BC$1,'NFR repository'!$U24)&gt;0,FALSE)),'NFR repository'!$I24,0)</f>
        <v>0</v>
      </c>
      <c r="BD24" s="252">
        <f>IF(AND('NFR repository'!$H24=Params!$I$3,IFERROR(FIND(BD$1,'NFR repository'!$U24)&gt;0,FALSE)),'NFR repository'!$I24,0)</f>
        <v>0</v>
      </c>
      <c r="BE24" s="93">
        <f>IF(AND('NFR repository'!$H24=Params!$I$3,IFERROR(FIND(BE$1,'NFR repository'!$U24)&gt;0,FALSE)),'NFR repository'!$I24,0)</f>
        <v>0</v>
      </c>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row>
    <row r="25" spans="1:84" ht="45" x14ac:dyDescent="0.25">
      <c r="A25" s="2"/>
      <c r="B25" s="210" t="s">
        <v>827</v>
      </c>
      <c r="C25" s="204" t="s">
        <v>828</v>
      </c>
      <c r="D25" s="202" t="s">
        <v>137</v>
      </c>
      <c r="E25" s="87" t="s">
        <v>834</v>
      </c>
      <c r="F25" s="38" t="s">
        <v>583</v>
      </c>
      <c r="G25" s="78" t="s">
        <v>826</v>
      </c>
      <c r="H25" s="35" t="s">
        <v>472</v>
      </c>
      <c r="I25" s="72" t="s">
        <v>41</v>
      </c>
      <c r="J25" s="228"/>
      <c r="K25" s="228"/>
      <c r="L25" s="201"/>
      <c r="M25" s="80" t="s">
        <v>130</v>
      </c>
      <c r="N25" s="80" t="s">
        <v>803</v>
      </c>
      <c r="O25" s="78" t="s">
        <v>576</v>
      </c>
      <c r="P25" s="78" t="s">
        <v>577</v>
      </c>
      <c r="Q25" s="78" t="s">
        <v>46</v>
      </c>
      <c r="R25" s="78" t="s">
        <v>46</v>
      </c>
      <c r="S25" s="38" t="s">
        <v>46</v>
      </c>
      <c r="T25" s="38" t="s">
        <v>46</v>
      </c>
      <c r="U25" s="38" t="s">
        <v>724</v>
      </c>
      <c r="V25" s="40" t="s">
        <v>591</v>
      </c>
      <c r="W25" s="11"/>
      <c r="X25" s="11"/>
      <c r="Y25" s="11"/>
      <c r="Z25" s="11"/>
      <c r="AA25" s="11"/>
      <c r="AB25" s="11"/>
      <c r="AC25" s="11"/>
      <c r="AD25" s="11"/>
      <c r="AE25" s="11"/>
      <c r="AF25" s="11"/>
      <c r="AG25" s="11"/>
      <c r="AH25" s="11"/>
      <c r="AI25" s="11"/>
      <c r="AJ25" s="11"/>
      <c r="AK25" s="11"/>
      <c r="AL25" s="11"/>
      <c r="AM25" s="11"/>
      <c r="AN25" s="11"/>
      <c r="AO25" s="11" t="s">
        <v>128</v>
      </c>
      <c r="AP25" s="11"/>
      <c r="AQ25" s="11"/>
      <c r="AR25" s="2"/>
      <c r="AS25" s="92" t="e">
        <f ca="1">IF(AND('NFR repository'!H25=Params!$I$3,INDIRECT("'NFR repository'!L" &amp; ROW('NFR repository'!A25) &amp; "C" &amp; TEXT(24 + $AS$2,"0"),FALSE)&lt;&gt;""),'NFR repository'!I25,0)</f>
        <v>#REF!</v>
      </c>
      <c r="AT25" s="252" t="e">
        <f ca="1">IF(AND('NFR repository'!H25=Params!$I$3,INDIRECT("'NFR repository'!L" &amp; ROW('NFR repository'!R25) &amp; "C" &amp; TEXT(28 + $AT$2,"0"),FALSE)&lt;&gt;""),'NFR repository'!I25,0)</f>
        <v>#REF!</v>
      </c>
      <c r="AU25" s="252" t="e">
        <f ca="1">IF(AND('NFR repository'!H25=Params!$I$3,INDIRECT("'NFR repository'!L" &amp; ROW('NFR repository'!R25) &amp; "C" &amp; TEXT(32 + $AU$2,"0"),FALSE)&lt;&gt;""),'NFR repository'!I25,0)</f>
        <v>#REF!</v>
      </c>
      <c r="AV25" s="253" t="e">
        <f ca="1">IF(AND('NFR repository'!H25=Params!$I$3,INDIRECT("'NFR repository'!L" &amp; ROW('NFR repository'!R25) &amp; "C" &amp; TEXT(36 + $AV$2,"0"),FALSE)&lt;&gt;""),'NFR repository'!I25,0)</f>
        <v>#REF!</v>
      </c>
      <c r="AW25" s="92">
        <f>IF(AND('NFR repository'!$H25=Params!$I$3,IFERROR(FIND(AW$1,'NFR repository'!$U25)&gt;0,FALSE)),'NFR repository'!$I25,0)</f>
        <v>0</v>
      </c>
      <c r="AX25" s="252">
        <f>IF(AND('NFR repository'!$H25=Params!$I$3,Synthesis!$I$8&lt;&gt;Params!$B$17,IFERROR(FIND(AX$1,'NFR repository'!$U25)&gt;0,FALSE)),'NFR repository'!$I25,0)</f>
        <v>0</v>
      </c>
      <c r="AY25" s="252">
        <f>IF(AND('NFR repository'!$H25=Params!$I$3,IFERROR(FIND(AY$1,'NFR repository'!$U25)&gt;0,FALSE)),'NFR repository'!$I25,0)</f>
        <v>0</v>
      </c>
      <c r="AZ25" s="252">
        <f>IF(AND('NFR repository'!$H25=Params!$I$3,IFERROR(FIND(AZ$1,'NFR repository'!$U25)&gt;0,FALSE)),'NFR repository'!$I25,0)</f>
        <v>0</v>
      </c>
      <c r="BA25" s="252">
        <f>IF(AND('NFR repository'!$H25=Params!$I$3,IFERROR(FIND(BA$1,'NFR repository'!$U25)&gt;0,FALSE)),'NFR repository'!$I25,0)</f>
        <v>0</v>
      </c>
      <c r="BB25" s="252">
        <f>IF(AND('NFR repository'!$H25=Params!$I$3,IFERROR(FIND(BB$1,'NFR repository'!$U25)&gt;0,FALSE)),'NFR repository'!$I25,0)</f>
        <v>0</v>
      </c>
      <c r="BC25" s="252">
        <f>IF(AND('NFR repository'!$H25=Params!$I$3,IFERROR(FIND(BC$1,'NFR repository'!$U25)&gt;0,FALSE)),'NFR repository'!$I25,0)</f>
        <v>0</v>
      </c>
      <c r="BD25" s="252">
        <f>IF(AND('NFR repository'!$H25=Params!$I$3,IFERROR(FIND(BD$1,'NFR repository'!$U25)&gt;0,FALSE)),'NFR repository'!$I25,0)</f>
        <v>0</v>
      </c>
      <c r="BE25" s="93">
        <f>IF(AND('NFR repository'!$H25=Params!$I$3,IFERROR(FIND(BE$1,'NFR repository'!$U25)&gt;0,FALSE)),'NFR repository'!$I25,0)</f>
        <v>0</v>
      </c>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row>
    <row r="26" spans="1:84" ht="18.75" x14ac:dyDescent="0.25">
      <c r="A26" s="2"/>
      <c r="B26" s="182">
        <v>2</v>
      </c>
      <c r="C26" s="183" t="s">
        <v>62</v>
      </c>
      <c r="D26" s="184"/>
      <c r="E26" s="184"/>
      <c r="F26" s="185"/>
      <c r="G26" s="197"/>
      <c r="H26" s="185"/>
      <c r="I26" s="186"/>
      <c r="J26" s="212"/>
      <c r="K26" s="212"/>
      <c r="L26" s="187"/>
      <c r="M26" s="198"/>
      <c r="N26" s="198"/>
      <c r="O26" s="197"/>
      <c r="P26" s="197"/>
      <c r="Q26" s="197"/>
      <c r="R26" s="197"/>
      <c r="S26" s="185"/>
      <c r="T26" s="185"/>
      <c r="U26" s="184"/>
      <c r="V26" s="184"/>
      <c r="W26" s="184"/>
      <c r="X26" s="185"/>
      <c r="Y26" s="185"/>
      <c r="Z26" s="185"/>
      <c r="AA26" s="185"/>
      <c r="AB26" s="185"/>
      <c r="AC26" s="185"/>
      <c r="AD26" s="185"/>
      <c r="AE26" s="185"/>
      <c r="AF26" s="185"/>
      <c r="AG26" s="185"/>
      <c r="AH26" s="185"/>
      <c r="AI26" s="185"/>
      <c r="AJ26" s="185"/>
      <c r="AK26" s="185"/>
      <c r="AL26" s="185"/>
      <c r="AM26" s="185"/>
      <c r="AN26" s="185"/>
      <c r="AO26" s="185"/>
      <c r="AP26" s="185"/>
      <c r="AQ26" s="185"/>
      <c r="AR26" s="2"/>
      <c r="AS26" s="92" t="e">
        <f ca="1">IF(AND('NFR repository'!H26=Params!$I$3,INDIRECT("'NFR repository'!L" &amp; ROW('NFR repository'!A26) &amp; "C" &amp; TEXT(24 + $AS$2,"0"),FALSE)&lt;&gt;""),'NFR repository'!I26,0)</f>
        <v>#REF!</v>
      </c>
      <c r="AT26" s="168" t="e">
        <f ca="1">IF(AND('NFR repository'!H26=Params!$I$3,INDIRECT("'NFR repository'!L" &amp; ROW('NFR repository'!R26) &amp; "C" &amp; TEXT(28 + $AT$2,"0"),FALSE)&lt;&gt;""),'NFR repository'!I26,0)</f>
        <v>#REF!</v>
      </c>
      <c r="AU26" s="168" t="e">
        <f ca="1">IF(AND('NFR repository'!H26=Params!$I$3,INDIRECT("'NFR repository'!L" &amp; ROW('NFR repository'!R26) &amp; "C" &amp; TEXT(32 + $AU$2,"0"),FALSE)&lt;&gt;""),'NFR repository'!I26,0)</f>
        <v>#REF!</v>
      </c>
      <c r="AV26" s="233" t="e">
        <f ca="1">IF(AND('NFR repository'!H26=Params!$I$3,INDIRECT("'NFR repository'!L" &amp; ROW('NFR repository'!R26) &amp; "C" &amp; TEXT(36 + $AV$2,"0"),FALSE)&lt;&gt;""),'NFR repository'!I26,0)</f>
        <v>#REF!</v>
      </c>
      <c r="AW26" s="92">
        <f>IF(AND('NFR repository'!$H26=Params!$I$3,IFERROR(FIND(AW$1,'NFR repository'!$U26)&gt;0,FALSE)),'NFR repository'!$I26,0)</f>
        <v>0</v>
      </c>
      <c r="AX26" s="231">
        <f>IF(AND('NFR repository'!$H26=Params!$I$3,Synthesis!$I$8&lt;&gt;Params!$B$17,IFERROR(FIND(AX$1,'NFR repository'!$U26)&gt;0,FALSE)),'NFR repository'!$I26,0)</f>
        <v>0</v>
      </c>
      <c r="AY26" s="231">
        <f>IF(AND('NFR repository'!$H26=Params!$I$3,IFERROR(FIND(AY$1,'NFR repository'!$U26)&gt;0,FALSE)),'NFR repository'!$I26,0)</f>
        <v>0</v>
      </c>
      <c r="AZ26" s="231">
        <f>IF(AND('NFR repository'!$H26=Params!$I$3,IFERROR(FIND(AZ$1,'NFR repository'!$U26)&gt;0,FALSE)),'NFR repository'!$I26,0)</f>
        <v>0</v>
      </c>
      <c r="BA26" s="231">
        <f>IF(AND('NFR repository'!$H26=Params!$I$3,IFERROR(FIND(BA$1,'NFR repository'!$U26)&gt;0,FALSE)),'NFR repository'!$I26,0)</f>
        <v>0</v>
      </c>
      <c r="BB26" s="231">
        <f>IF(AND('NFR repository'!$H26=Params!$I$3,IFERROR(FIND(BB$1,'NFR repository'!$U26)&gt;0,FALSE)),'NFR repository'!$I26,0)</f>
        <v>0</v>
      </c>
      <c r="BC26" s="231">
        <f>IF(AND('NFR repository'!$H26=Params!$I$3,IFERROR(FIND(BC$1,'NFR repository'!$U26)&gt;0,FALSE)),'NFR repository'!$I26,0)</f>
        <v>0</v>
      </c>
      <c r="BD26" s="231">
        <f>IF(AND('NFR repository'!$H26=Params!$I$3,IFERROR(FIND(BD$1,'NFR repository'!$U26)&gt;0,FALSE)),'NFR repository'!$I26,0)</f>
        <v>0</v>
      </c>
      <c r="BE26" s="93">
        <f>IF(AND('NFR repository'!$H26=Params!$I$3,IFERROR(FIND(BE$1,'NFR repository'!$U26)&gt;0,FALSE)),'NFR repository'!$I26,0)</f>
        <v>0</v>
      </c>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row>
    <row r="27" spans="1:84" ht="15.75" x14ac:dyDescent="0.25">
      <c r="A27" s="2"/>
      <c r="B27" s="52" t="s">
        <v>55</v>
      </c>
      <c r="C27" s="39" t="s">
        <v>64</v>
      </c>
      <c r="D27" s="82"/>
      <c r="E27" s="82"/>
      <c r="F27" s="4"/>
      <c r="G27" s="77"/>
      <c r="H27" s="4"/>
      <c r="I27" s="49"/>
      <c r="J27" s="213"/>
      <c r="K27" s="213"/>
      <c r="L27" s="189"/>
      <c r="M27" s="76"/>
      <c r="N27" s="76"/>
      <c r="O27" s="77"/>
      <c r="P27" s="77"/>
      <c r="Q27" s="77"/>
      <c r="R27" s="77"/>
      <c r="S27" s="4"/>
      <c r="T27" s="4"/>
      <c r="U27" s="4"/>
      <c r="V27" s="4"/>
      <c r="W27" s="4"/>
      <c r="X27" s="4"/>
      <c r="Y27" s="4"/>
      <c r="Z27" s="4"/>
      <c r="AA27" s="4"/>
      <c r="AB27" s="4"/>
      <c r="AC27" s="4"/>
      <c r="AD27" s="4"/>
      <c r="AE27" s="4"/>
      <c r="AF27" s="4"/>
      <c r="AG27" s="4"/>
      <c r="AH27" s="4"/>
      <c r="AI27" s="4"/>
      <c r="AJ27" s="4"/>
      <c r="AK27" s="4"/>
      <c r="AL27" s="4"/>
      <c r="AM27" s="4"/>
      <c r="AN27" s="4"/>
      <c r="AO27" s="4"/>
      <c r="AP27" s="4"/>
      <c r="AQ27" s="4"/>
      <c r="AR27" s="2"/>
      <c r="AS27" s="92" t="e">
        <f ca="1">IF(AND('NFR repository'!H27=Params!$I$3,INDIRECT("'NFR repository'!L" &amp; ROW('NFR repository'!A27) &amp; "C" &amp; TEXT(24 + $AS$2,"0"),FALSE)&lt;&gt;""),'NFR repository'!I27,0)</f>
        <v>#REF!</v>
      </c>
      <c r="AT27" s="168" t="e">
        <f ca="1">IF(AND('NFR repository'!H27=Params!$I$3,INDIRECT("'NFR repository'!L" &amp; ROW('NFR repository'!R27) &amp; "C" &amp; TEXT(28 + $AT$2,"0"),FALSE)&lt;&gt;""),'NFR repository'!I27,0)</f>
        <v>#REF!</v>
      </c>
      <c r="AU27" s="168" t="e">
        <f ca="1">IF(AND('NFR repository'!H27=Params!$I$3,INDIRECT("'NFR repository'!L" &amp; ROW('NFR repository'!R27) &amp; "C" &amp; TEXT(32 + $AU$2,"0"),FALSE)&lt;&gt;""),'NFR repository'!I27,0)</f>
        <v>#REF!</v>
      </c>
      <c r="AV27" s="233" t="e">
        <f ca="1">IF(AND('NFR repository'!H27=Params!$I$3,INDIRECT("'NFR repository'!L" &amp; ROW('NFR repository'!R27) &amp; "C" &amp; TEXT(36 + $AV$2,"0"),FALSE)&lt;&gt;""),'NFR repository'!I27,0)</f>
        <v>#REF!</v>
      </c>
      <c r="AW27" s="92">
        <f>IF(AND('NFR repository'!$H27=Params!$I$3,IFERROR(FIND(AW$1,'NFR repository'!$U27)&gt;0,FALSE)),'NFR repository'!$I27,0)</f>
        <v>0</v>
      </c>
      <c r="AX27" s="231">
        <f>IF(AND('NFR repository'!$H27=Params!$I$3,Synthesis!$I$8&lt;&gt;Params!$B$17,IFERROR(FIND(AX$1,'NFR repository'!$U27)&gt;0,FALSE)),'NFR repository'!$I27,0)</f>
        <v>0</v>
      </c>
      <c r="AY27" s="231">
        <f>IF(AND('NFR repository'!$H27=Params!$I$3,IFERROR(FIND(AY$1,'NFR repository'!$U27)&gt;0,FALSE)),'NFR repository'!$I27,0)</f>
        <v>0</v>
      </c>
      <c r="AZ27" s="231">
        <f>IF(AND('NFR repository'!$H27=Params!$I$3,IFERROR(FIND(AZ$1,'NFR repository'!$U27)&gt;0,FALSE)),'NFR repository'!$I27,0)</f>
        <v>0</v>
      </c>
      <c r="BA27" s="231">
        <f>IF(AND('NFR repository'!$H27=Params!$I$3,IFERROR(FIND(BA$1,'NFR repository'!$U27)&gt;0,FALSE)),'NFR repository'!$I27,0)</f>
        <v>0</v>
      </c>
      <c r="BB27" s="231">
        <f>IF(AND('NFR repository'!$H27=Params!$I$3,IFERROR(FIND(BB$1,'NFR repository'!$U27)&gt;0,FALSE)),'NFR repository'!$I27,0)</f>
        <v>0</v>
      </c>
      <c r="BC27" s="231">
        <f>IF(AND('NFR repository'!$H27=Params!$I$3,IFERROR(FIND(BC$1,'NFR repository'!$U27)&gt;0,FALSE)),'NFR repository'!$I27,0)</f>
        <v>0</v>
      </c>
      <c r="BD27" s="231">
        <f>IF(AND('NFR repository'!$H27=Params!$I$3,IFERROR(FIND(BD$1,'NFR repository'!$U27)&gt;0,FALSE)),'NFR repository'!$I27,0)</f>
        <v>0</v>
      </c>
      <c r="BE27" s="93">
        <f>IF(AND('NFR repository'!$H27=Params!$I$3,IFERROR(FIND(BE$1,'NFR repository'!$U27)&gt;0,FALSE)),'NFR repository'!$I27,0)</f>
        <v>0</v>
      </c>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row>
    <row r="28" spans="1:84" ht="76.5" x14ac:dyDescent="0.25">
      <c r="A28" s="1"/>
      <c r="B28" s="193" t="s">
        <v>209</v>
      </c>
      <c r="C28" s="194" t="s">
        <v>350</v>
      </c>
      <c r="D28" s="36" t="s">
        <v>137</v>
      </c>
      <c r="E28" s="85" t="s">
        <v>142</v>
      </c>
      <c r="F28" s="40" t="s">
        <v>133</v>
      </c>
      <c r="G28" s="51" t="s">
        <v>743</v>
      </c>
      <c r="H28" s="40" t="s">
        <v>472</v>
      </c>
      <c r="I28" s="72" t="s">
        <v>41</v>
      </c>
      <c r="J28" s="216"/>
      <c r="K28" s="216"/>
      <c r="L28" s="199"/>
      <c r="M28" s="80" t="s">
        <v>558</v>
      </c>
      <c r="N28" s="80" t="s">
        <v>649</v>
      </c>
      <c r="O28" s="51" t="s">
        <v>573</v>
      </c>
      <c r="P28" s="51" t="s">
        <v>577</v>
      </c>
      <c r="Q28" s="51" t="s">
        <v>156</v>
      </c>
      <c r="R28" s="51" t="s">
        <v>321</v>
      </c>
      <c r="S28" s="3" t="s">
        <v>322</v>
      </c>
      <c r="T28" s="40" t="s">
        <v>46</v>
      </c>
      <c r="U28" s="40" t="s">
        <v>324</v>
      </c>
      <c r="V28" s="40" t="s">
        <v>591</v>
      </c>
      <c r="W28" s="3"/>
      <c r="X28" s="3"/>
      <c r="Y28" s="3"/>
      <c r="Z28" s="3"/>
      <c r="AA28" s="3"/>
      <c r="AB28" s="3"/>
      <c r="AC28" s="3"/>
      <c r="AD28" s="3"/>
      <c r="AE28" s="3"/>
      <c r="AF28" s="3"/>
      <c r="AG28" s="3"/>
      <c r="AH28" s="3"/>
      <c r="AI28" s="3"/>
      <c r="AJ28" s="3"/>
      <c r="AK28" s="3"/>
      <c r="AL28" s="3"/>
      <c r="AM28" s="3"/>
      <c r="AN28" s="3"/>
      <c r="AO28" s="3"/>
      <c r="AP28" s="3"/>
      <c r="AQ28" s="3"/>
      <c r="AR28" s="2"/>
      <c r="AS28" s="92" t="e">
        <f ca="1">IF(AND('NFR repository'!H28=Params!$I$3,INDIRECT("'NFR repository'!L" &amp; ROW('NFR repository'!A28) &amp; "C" &amp; TEXT(24 + $AS$2,"0"),FALSE)&lt;&gt;""),'NFR repository'!I28,0)</f>
        <v>#REF!</v>
      </c>
      <c r="AT28" s="168" t="e">
        <f ca="1">IF(AND('NFR repository'!H28=Params!$I$3,INDIRECT("'NFR repository'!L" &amp; ROW('NFR repository'!R28) &amp; "C" &amp; TEXT(28 + $AT$2,"0"),FALSE)&lt;&gt;""),'NFR repository'!I28,0)</f>
        <v>#REF!</v>
      </c>
      <c r="AU28" s="168" t="e">
        <f ca="1">IF(AND('NFR repository'!H28=Params!$I$3,INDIRECT("'NFR repository'!L" &amp; ROW('NFR repository'!R28) &amp; "C" &amp; TEXT(32 + $AU$2,"0"),FALSE)&lt;&gt;""),'NFR repository'!I28,0)</f>
        <v>#REF!</v>
      </c>
      <c r="AV28" s="233" t="e">
        <f ca="1">IF(AND('NFR repository'!H28=Params!$I$3,INDIRECT("'NFR repository'!L" &amp; ROW('NFR repository'!R28) &amp; "C" &amp; TEXT(36 + $AV$2,"0"),FALSE)&lt;&gt;""),'NFR repository'!I28,0)</f>
        <v>#REF!</v>
      </c>
      <c r="AW28" s="92">
        <f>IF(AND('NFR repository'!$H28=Params!$I$3,IFERROR(FIND(AW$1,'NFR repository'!$U28)&gt;0,FALSE)),'NFR repository'!$I28,0)</f>
        <v>0</v>
      </c>
      <c r="AX28" s="231">
        <f>IF(AND('NFR repository'!$H28=Params!$I$3,Synthesis!$I$8&lt;&gt;Params!$B$17,IFERROR(FIND(AX$1,'NFR repository'!$U28)&gt;0,FALSE)),'NFR repository'!$I28,0)</f>
        <v>0</v>
      </c>
      <c r="AY28" s="231">
        <f>IF(AND('NFR repository'!$H28=Params!$I$3,IFERROR(FIND(AY$1,'NFR repository'!$U28)&gt;0,FALSE)),'NFR repository'!$I28,0)</f>
        <v>0</v>
      </c>
      <c r="AZ28" s="231">
        <f>IF(AND('NFR repository'!$H28=Params!$I$3,IFERROR(FIND(AZ$1,'NFR repository'!$U28)&gt;0,FALSE)),'NFR repository'!$I28,0)</f>
        <v>0</v>
      </c>
      <c r="BA28" s="231">
        <f>IF(AND('NFR repository'!$H28=Params!$I$3,IFERROR(FIND(BA$1,'NFR repository'!$U28)&gt;0,FALSE)),'NFR repository'!$I28,0)</f>
        <v>0</v>
      </c>
      <c r="BB28" s="231">
        <f>IF(AND('NFR repository'!$H28=Params!$I$3,IFERROR(FIND(BB$1,'NFR repository'!$U28)&gt;0,FALSE)),'NFR repository'!$I28,0)</f>
        <v>0</v>
      </c>
      <c r="BC28" s="231">
        <f>IF(AND('NFR repository'!$H28=Params!$I$3,IFERROR(FIND(BC$1,'NFR repository'!$U28)&gt;0,FALSE)),'NFR repository'!$I28,0)</f>
        <v>0</v>
      </c>
      <c r="BD28" s="231">
        <f>IF(AND('NFR repository'!$H28=Params!$I$3,IFERROR(FIND(BD$1,'NFR repository'!$U28)&gt;0,FALSE)),'NFR repository'!$I28,0)</f>
        <v>0</v>
      </c>
      <c r="BE28" s="93">
        <f>IF(AND('NFR repository'!$H28=Params!$I$3,IFERROR(FIND(BE$1,'NFR repository'!$U28)&gt;0,FALSE)),'NFR repository'!$I28,0)</f>
        <v>0</v>
      </c>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row>
    <row r="29" spans="1:84" ht="45" x14ac:dyDescent="0.25">
      <c r="A29" s="1"/>
      <c r="B29" s="190" t="s">
        <v>616</v>
      </c>
      <c r="C29" s="191" t="s">
        <v>615</v>
      </c>
      <c r="D29" s="170" t="s">
        <v>137</v>
      </c>
      <c r="E29" s="170" t="s">
        <v>639</v>
      </c>
      <c r="F29" s="74" t="s">
        <v>279</v>
      </c>
      <c r="G29" s="75" t="s">
        <v>744</v>
      </c>
      <c r="H29" s="35" t="s">
        <v>472</v>
      </c>
      <c r="I29" s="72" t="s">
        <v>41</v>
      </c>
      <c r="J29" s="217"/>
      <c r="K29" s="217"/>
      <c r="L29" s="200"/>
      <c r="M29" s="79" t="s">
        <v>558</v>
      </c>
      <c r="N29" s="79" t="s">
        <v>564</v>
      </c>
      <c r="O29" s="75" t="s">
        <v>574</v>
      </c>
      <c r="P29" s="75" t="s">
        <v>577</v>
      </c>
      <c r="Q29" s="75" t="s">
        <v>46</v>
      </c>
      <c r="R29" s="75" t="s">
        <v>46</v>
      </c>
      <c r="S29" s="74" t="s">
        <v>46</v>
      </c>
      <c r="T29" s="74" t="s">
        <v>46</v>
      </c>
      <c r="U29" s="169" t="s">
        <v>146</v>
      </c>
      <c r="V29" s="169" t="s">
        <v>146</v>
      </c>
      <c r="W29" s="73"/>
      <c r="X29" s="73"/>
      <c r="Y29" s="73"/>
      <c r="Z29" s="73"/>
      <c r="AA29" s="73"/>
      <c r="AB29" s="73"/>
      <c r="AC29" s="73"/>
      <c r="AD29" s="73"/>
      <c r="AE29" s="73"/>
      <c r="AF29" s="73"/>
      <c r="AG29" s="73"/>
      <c r="AH29" s="73"/>
      <c r="AI29" s="73"/>
      <c r="AJ29" s="73"/>
      <c r="AK29" s="73"/>
      <c r="AL29" s="73"/>
      <c r="AM29" s="73"/>
      <c r="AN29" s="73"/>
      <c r="AO29" s="73"/>
      <c r="AP29" s="73"/>
      <c r="AQ29" s="73"/>
      <c r="AR29" s="2"/>
      <c r="AS29" s="92" t="e">
        <f ca="1">IF(AND('NFR repository'!H29=Params!$I$3,INDIRECT("'NFR repository'!L" &amp; ROW('NFR repository'!A29) &amp; "C" &amp; TEXT(24 + $AS$2,"0"),FALSE)&lt;&gt;""),'NFR repository'!I29,0)</f>
        <v>#REF!</v>
      </c>
      <c r="AT29" s="168" t="e">
        <f ca="1">IF(AND('NFR repository'!H29=Params!$I$3,INDIRECT("'NFR repository'!L" &amp; ROW('NFR repository'!R29) &amp; "C" &amp; TEXT(28 + $AT$2,"0"),FALSE)&lt;&gt;""),'NFR repository'!I29,0)</f>
        <v>#REF!</v>
      </c>
      <c r="AU29" s="168" t="e">
        <f ca="1">IF(AND('NFR repository'!H29=Params!$I$3,INDIRECT("'NFR repository'!L" &amp; ROW('NFR repository'!R29) &amp; "C" &amp; TEXT(32 + $AU$2,"0"),FALSE)&lt;&gt;""),'NFR repository'!I29,0)</f>
        <v>#REF!</v>
      </c>
      <c r="AV29" s="233" t="e">
        <f ca="1">IF(AND('NFR repository'!H29=Params!$I$3,INDIRECT("'NFR repository'!L" &amp; ROW('NFR repository'!R29) &amp; "C" &amp; TEXT(36 + $AV$2,"0"),FALSE)&lt;&gt;""),'NFR repository'!I29,0)</f>
        <v>#REF!</v>
      </c>
      <c r="AW29" s="92">
        <f>IF(AND('NFR repository'!$H29=Params!$I$3,IFERROR(FIND(AW$1,'NFR repository'!$U29)&gt;0,FALSE)),'NFR repository'!$I29,0)</f>
        <v>0</v>
      </c>
      <c r="AX29" s="231">
        <f>IF(AND('NFR repository'!$H29=Params!$I$3,Synthesis!$I$8&lt;&gt;Params!$B$17,IFERROR(FIND(AX$1,'NFR repository'!$U29)&gt;0,FALSE)),'NFR repository'!$I29,0)</f>
        <v>0</v>
      </c>
      <c r="AY29" s="231">
        <f>IF(AND('NFR repository'!$H29=Params!$I$3,IFERROR(FIND(AY$1,'NFR repository'!$U29)&gt;0,FALSE)),'NFR repository'!$I29,0)</f>
        <v>0</v>
      </c>
      <c r="AZ29" s="231">
        <f>IF(AND('NFR repository'!$H29=Params!$I$3,IFERROR(FIND(AZ$1,'NFR repository'!$U29)&gt;0,FALSE)),'NFR repository'!$I29,0)</f>
        <v>0</v>
      </c>
      <c r="BA29" s="231">
        <f>IF(AND('NFR repository'!$H29=Params!$I$3,IFERROR(FIND(BA$1,'NFR repository'!$U29)&gt;0,FALSE)),'NFR repository'!$I29,0)</f>
        <v>0</v>
      </c>
      <c r="BB29" s="231">
        <f>IF(AND('NFR repository'!$H29=Params!$I$3,IFERROR(FIND(BB$1,'NFR repository'!$U29)&gt;0,FALSE)),'NFR repository'!$I29,0)</f>
        <v>0</v>
      </c>
      <c r="BC29" s="231">
        <f>IF(AND('NFR repository'!$H29=Params!$I$3,IFERROR(FIND(BC$1,'NFR repository'!$U29)&gt;0,FALSE)),'NFR repository'!$I29,0)</f>
        <v>0</v>
      </c>
      <c r="BD29" s="231">
        <f>IF(AND('NFR repository'!$H29=Params!$I$3,IFERROR(FIND(BD$1,'NFR repository'!$U29)&gt;0,FALSE)),'NFR repository'!$I29,0)</f>
        <v>0</v>
      </c>
      <c r="BE29" s="93">
        <f>IF(AND('NFR repository'!$H29=Params!$I$3,IFERROR(FIND(BE$1,'NFR repository'!$U29)&gt;0,FALSE)),'NFR repository'!$I29,0)</f>
        <v>0</v>
      </c>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row>
    <row r="30" spans="1:84" ht="15.75" x14ac:dyDescent="0.25">
      <c r="A30" s="1"/>
      <c r="B30" s="52" t="s">
        <v>58</v>
      </c>
      <c r="C30" s="39" t="s">
        <v>69</v>
      </c>
      <c r="D30" s="82"/>
      <c r="E30" s="82"/>
      <c r="F30" s="4"/>
      <c r="G30" s="77"/>
      <c r="H30" s="4"/>
      <c r="I30" s="49"/>
      <c r="J30" s="213"/>
      <c r="K30" s="213"/>
      <c r="L30" s="189"/>
      <c r="M30" s="76"/>
      <c r="N30" s="76"/>
      <c r="O30" s="77"/>
      <c r="P30" s="77"/>
      <c r="Q30" s="77"/>
      <c r="R30" s="77"/>
      <c r="S30" s="4"/>
      <c r="T30" s="4"/>
      <c r="U30" s="4"/>
      <c r="V30" s="4"/>
      <c r="W30" s="4"/>
      <c r="X30" s="4"/>
      <c r="Y30" s="4"/>
      <c r="Z30" s="4"/>
      <c r="AA30" s="4"/>
      <c r="AB30" s="4"/>
      <c r="AC30" s="4"/>
      <c r="AD30" s="4"/>
      <c r="AE30" s="4"/>
      <c r="AF30" s="4"/>
      <c r="AG30" s="4"/>
      <c r="AH30" s="4"/>
      <c r="AI30" s="4"/>
      <c r="AJ30" s="4"/>
      <c r="AK30" s="4"/>
      <c r="AL30" s="4"/>
      <c r="AM30" s="4"/>
      <c r="AN30" s="4"/>
      <c r="AO30" s="4"/>
      <c r="AP30" s="4"/>
      <c r="AQ30" s="4"/>
      <c r="AR30" s="2"/>
      <c r="AS30" s="92" t="e">
        <f ca="1">IF(AND('NFR repository'!H30=Params!$I$3,INDIRECT("'NFR repository'!L" &amp; ROW('NFR repository'!A30) &amp; "C" &amp; TEXT(24 + $AS$2,"0"),FALSE)&lt;&gt;""),'NFR repository'!I30,0)</f>
        <v>#REF!</v>
      </c>
      <c r="AT30" s="168" t="e">
        <f ca="1">IF(AND('NFR repository'!H30=Params!$I$3,INDIRECT("'NFR repository'!L" &amp; ROW('NFR repository'!R30) &amp; "C" &amp; TEXT(28 + $AT$2,"0"),FALSE)&lt;&gt;""),'NFR repository'!I30,0)</f>
        <v>#REF!</v>
      </c>
      <c r="AU30" s="168" t="e">
        <f ca="1">IF(AND('NFR repository'!H30=Params!$I$3,INDIRECT("'NFR repository'!L" &amp; ROW('NFR repository'!R30) &amp; "C" &amp; TEXT(32 + $AU$2,"0"),FALSE)&lt;&gt;""),'NFR repository'!I30,0)</f>
        <v>#REF!</v>
      </c>
      <c r="AV30" s="233" t="e">
        <f ca="1">IF(AND('NFR repository'!H30=Params!$I$3,INDIRECT("'NFR repository'!L" &amp; ROW('NFR repository'!R30) &amp; "C" &amp; TEXT(36 + $AV$2,"0"),FALSE)&lt;&gt;""),'NFR repository'!I30,0)</f>
        <v>#REF!</v>
      </c>
      <c r="AW30" s="92">
        <f>IF(AND('NFR repository'!$H30=Params!$I$3,IFERROR(FIND(AW$1,'NFR repository'!$U30)&gt;0,FALSE)),'NFR repository'!$I30,0)</f>
        <v>0</v>
      </c>
      <c r="AX30" s="231">
        <f>IF(AND('NFR repository'!$H30=Params!$I$3,Synthesis!$I$8&lt;&gt;Params!$B$17,IFERROR(FIND(AX$1,'NFR repository'!$U30)&gt;0,FALSE)),'NFR repository'!$I30,0)</f>
        <v>0</v>
      </c>
      <c r="AY30" s="231">
        <f>IF(AND('NFR repository'!$H30=Params!$I$3,IFERROR(FIND(AY$1,'NFR repository'!$U30)&gt;0,FALSE)),'NFR repository'!$I30,0)</f>
        <v>0</v>
      </c>
      <c r="AZ30" s="231">
        <f>IF(AND('NFR repository'!$H30=Params!$I$3,IFERROR(FIND(AZ$1,'NFR repository'!$U30)&gt;0,FALSE)),'NFR repository'!$I30,0)</f>
        <v>0</v>
      </c>
      <c r="BA30" s="231">
        <f>IF(AND('NFR repository'!$H30=Params!$I$3,IFERROR(FIND(BA$1,'NFR repository'!$U30)&gt;0,FALSE)),'NFR repository'!$I30,0)</f>
        <v>0</v>
      </c>
      <c r="BB30" s="231">
        <f>IF(AND('NFR repository'!$H30=Params!$I$3,IFERROR(FIND(BB$1,'NFR repository'!$U30)&gt;0,FALSE)),'NFR repository'!$I30,0)</f>
        <v>0</v>
      </c>
      <c r="BC30" s="231">
        <f>IF(AND('NFR repository'!$H30=Params!$I$3,IFERROR(FIND(BC$1,'NFR repository'!$U30)&gt;0,FALSE)),'NFR repository'!$I30,0)</f>
        <v>0</v>
      </c>
      <c r="BD30" s="231">
        <f>IF(AND('NFR repository'!$H30=Params!$I$3,IFERROR(FIND(BD$1,'NFR repository'!$U30)&gt;0,FALSE)),'NFR repository'!$I30,0)</f>
        <v>0</v>
      </c>
      <c r="BE30" s="93">
        <f>IF(AND('NFR repository'!$H30=Params!$I$3,IFERROR(FIND(BE$1,'NFR repository'!$U30)&gt;0,FALSE)),'NFR repository'!$I30,0)</f>
        <v>0</v>
      </c>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row>
    <row r="31" spans="1:84" ht="75" x14ac:dyDescent="0.25">
      <c r="A31" s="1"/>
      <c r="B31" s="193" t="s">
        <v>210</v>
      </c>
      <c r="C31" s="194" t="s">
        <v>351</v>
      </c>
      <c r="D31" s="83" t="s">
        <v>782</v>
      </c>
      <c r="E31" s="83" t="s">
        <v>644</v>
      </c>
      <c r="F31" s="40" t="s">
        <v>279</v>
      </c>
      <c r="G31" s="51" t="s">
        <v>745</v>
      </c>
      <c r="H31" s="40" t="s">
        <v>472</v>
      </c>
      <c r="I31" s="72" t="s">
        <v>41</v>
      </c>
      <c r="J31" s="216"/>
      <c r="K31" s="216"/>
      <c r="L31" s="199"/>
      <c r="M31" s="80" t="s">
        <v>558</v>
      </c>
      <c r="N31" s="80" t="s">
        <v>564</v>
      </c>
      <c r="O31" s="51" t="s">
        <v>574</v>
      </c>
      <c r="P31" s="51" t="s">
        <v>577</v>
      </c>
      <c r="Q31" s="51" t="s">
        <v>46</v>
      </c>
      <c r="R31" s="51" t="s">
        <v>46</v>
      </c>
      <c r="S31" s="40" t="s">
        <v>46</v>
      </c>
      <c r="T31" s="40" t="s">
        <v>46</v>
      </c>
      <c r="U31" s="35" t="s">
        <v>645</v>
      </c>
      <c r="V31" s="38" t="s">
        <v>146</v>
      </c>
      <c r="W31" s="3" t="s">
        <v>128</v>
      </c>
      <c r="X31" s="3" t="s">
        <v>128</v>
      </c>
      <c r="Y31" s="3" t="s">
        <v>128</v>
      </c>
      <c r="Z31" s="3" t="s">
        <v>128</v>
      </c>
      <c r="AA31" s="3"/>
      <c r="AB31" s="3"/>
      <c r="AC31" s="3"/>
      <c r="AD31" s="3"/>
      <c r="AE31" s="3"/>
      <c r="AF31" s="3"/>
      <c r="AG31" s="3"/>
      <c r="AH31" s="3"/>
      <c r="AI31" s="3"/>
      <c r="AJ31" s="3"/>
      <c r="AK31" s="3"/>
      <c r="AL31" s="3"/>
      <c r="AM31" s="3"/>
      <c r="AN31" s="3"/>
      <c r="AO31" s="3"/>
      <c r="AP31" s="3"/>
      <c r="AQ31" s="3"/>
      <c r="AR31" s="2"/>
      <c r="AS31" s="92" t="e">
        <f ca="1">IF(AND('NFR repository'!H31=Params!$I$3,INDIRECT("'NFR repository'!L" &amp; ROW('NFR repository'!A31) &amp; "C" &amp; TEXT(24 + $AS$2,"0"),FALSE)&lt;&gt;""),'NFR repository'!I31,0)</f>
        <v>#REF!</v>
      </c>
      <c r="AT31" s="168" t="e">
        <f ca="1">IF(AND('NFR repository'!H31=Params!$I$3,INDIRECT("'NFR repository'!L" &amp; ROW('NFR repository'!R31) &amp; "C" &amp; TEXT(28 + $AT$2,"0"),FALSE)&lt;&gt;""),'NFR repository'!I31,0)</f>
        <v>#REF!</v>
      </c>
      <c r="AU31" s="168" t="e">
        <f ca="1">IF(AND('NFR repository'!H31=Params!$I$3,INDIRECT("'NFR repository'!L" &amp; ROW('NFR repository'!R31) &amp; "C" &amp; TEXT(32 + $AU$2,"0"),FALSE)&lt;&gt;""),'NFR repository'!I31,0)</f>
        <v>#REF!</v>
      </c>
      <c r="AV31" s="233" t="e">
        <f ca="1">IF(AND('NFR repository'!H31=Params!$I$3,INDIRECT("'NFR repository'!L" &amp; ROW('NFR repository'!R31) &amp; "C" &amp; TEXT(36 + $AV$2,"0"),FALSE)&lt;&gt;""),'NFR repository'!I31,0)</f>
        <v>#REF!</v>
      </c>
      <c r="AW31" s="92">
        <f>IF(AND('NFR repository'!$H31=Params!$I$3,IFERROR(FIND(AW$1,'NFR repository'!$U31)&gt;0,FALSE)),'NFR repository'!$I31,0)</f>
        <v>0</v>
      </c>
      <c r="AX31" s="231">
        <f>IF(AND('NFR repository'!$H31=Params!$I$3,Synthesis!$I$8&lt;&gt;Params!$B$17,IFERROR(FIND(AX$1,'NFR repository'!$U31)&gt;0,FALSE)),'NFR repository'!$I31,0)</f>
        <v>0</v>
      </c>
      <c r="AY31" s="231">
        <f>IF(AND('NFR repository'!$H31=Params!$I$3,IFERROR(FIND(AY$1,'NFR repository'!$U31)&gt;0,FALSE)),'NFR repository'!$I31,0)</f>
        <v>0</v>
      </c>
      <c r="AZ31" s="231">
        <f>IF(AND('NFR repository'!$H31=Params!$I$3,IFERROR(FIND(AZ$1,'NFR repository'!$U31)&gt;0,FALSE)),'NFR repository'!$I31,0)</f>
        <v>0</v>
      </c>
      <c r="BA31" s="231">
        <f>IF(AND('NFR repository'!$H31=Params!$I$3,IFERROR(FIND(BA$1,'NFR repository'!$U31)&gt;0,FALSE)),'NFR repository'!$I31,0)</f>
        <v>0</v>
      </c>
      <c r="BB31" s="231">
        <f>IF(AND('NFR repository'!$H31=Params!$I$3,IFERROR(FIND(BB$1,'NFR repository'!$U31)&gt;0,FALSE)),'NFR repository'!$I31,0)</f>
        <v>0</v>
      </c>
      <c r="BC31" s="231">
        <f>IF(AND('NFR repository'!$H31=Params!$I$3,IFERROR(FIND(BC$1,'NFR repository'!$U31)&gt;0,FALSE)),'NFR repository'!$I31,0)</f>
        <v>0</v>
      </c>
      <c r="BD31" s="231">
        <f>IF(AND('NFR repository'!$H31=Params!$I$3,IFERROR(FIND(BD$1,'NFR repository'!$U31)&gt;0,FALSE)),'NFR repository'!$I31,0)</f>
        <v>0</v>
      </c>
      <c r="BE31" s="93">
        <f>IF(AND('NFR repository'!$H31=Params!$I$3,IFERROR(FIND(BE$1,'NFR repository'!$U31)&gt;0,FALSE)),'NFR repository'!$I31,0)</f>
        <v>0</v>
      </c>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row>
    <row r="32" spans="1:84" ht="30" x14ac:dyDescent="0.25">
      <c r="A32" s="1"/>
      <c r="B32" s="193" t="s">
        <v>211</v>
      </c>
      <c r="C32" s="194" t="s">
        <v>352</v>
      </c>
      <c r="D32" s="86" t="s">
        <v>137</v>
      </c>
      <c r="E32" s="86"/>
      <c r="F32" s="35" t="s">
        <v>583</v>
      </c>
      <c r="G32" s="51" t="s">
        <v>583</v>
      </c>
      <c r="H32" s="40" t="s">
        <v>472</v>
      </c>
      <c r="I32" s="72" t="s">
        <v>41</v>
      </c>
      <c r="J32" s="216"/>
      <c r="K32" s="216"/>
      <c r="L32" s="199"/>
      <c r="M32" s="80" t="s">
        <v>130</v>
      </c>
      <c r="N32" s="80" t="s">
        <v>138</v>
      </c>
      <c r="O32" s="51" t="s">
        <v>576</v>
      </c>
      <c r="P32" s="51" t="s">
        <v>576</v>
      </c>
      <c r="Q32" s="51" t="s">
        <v>46</v>
      </c>
      <c r="R32" s="51" t="s">
        <v>46</v>
      </c>
      <c r="S32" s="40" t="s">
        <v>46</v>
      </c>
      <c r="T32" s="40" t="s">
        <v>46</v>
      </c>
      <c r="U32" s="40" t="s">
        <v>591</v>
      </c>
      <c r="V32" s="40" t="s">
        <v>591</v>
      </c>
      <c r="W32" s="3"/>
      <c r="X32" s="3"/>
      <c r="Y32" s="3"/>
      <c r="Z32" s="3"/>
      <c r="AA32" s="3"/>
      <c r="AB32" s="3"/>
      <c r="AC32" s="3"/>
      <c r="AD32" s="3"/>
      <c r="AE32" s="3"/>
      <c r="AF32" s="3"/>
      <c r="AG32" s="3"/>
      <c r="AH32" s="3"/>
      <c r="AI32" s="3"/>
      <c r="AJ32" s="3"/>
      <c r="AK32" s="3"/>
      <c r="AL32" s="3"/>
      <c r="AM32" s="3"/>
      <c r="AN32" s="3"/>
      <c r="AO32" s="3"/>
      <c r="AP32" s="3"/>
      <c r="AQ32" s="3"/>
      <c r="AR32" s="2"/>
      <c r="AS32" s="92" t="e">
        <f ca="1">IF(AND('NFR repository'!H32=Params!$I$3,INDIRECT("'NFR repository'!L" &amp; ROW('NFR repository'!A32) &amp; "C" &amp; TEXT(24 + $AS$2,"0"),FALSE)&lt;&gt;""),'NFR repository'!I32,0)</f>
        <v>#REF!</v>
      </c>
      <c r="AT32" s="168" t="e">
        <f ca="1">IF(AND('NFR repository'!H32=Params!$I$3,INDIRECT("'NFR repository'!L" &amp; ROW('NFR repository'!R32) &amp; "C" &amp; TEXT(28 + $AT$2,"0"),FALSE)&lt;&gt;""),'NFR repository'!I32,0)</f>
        <v>#REF!</v>
      </c>
      <c r="AU32" s="168" t="e">
        <f ca="1">IF(AND('NFR repository'!H32=Params!$I$3,INDIRECT("'NFR repository'!L" &amp; ROW('NFR repository'!R32) &amp; "C" &amp; TEXT(32 + $AU$2,"0"),FALSE)&lt;&gt;""),'NFR repository'!I32,0)</f>
        <v>#REF!</v>
      </c>
      <c r="AV32" s="233" t="e">
        <f ca="1">IF(AND('NFR repository'!H32=Params!$I$3,INDIRECT("'NFR repository'!L" &amp; ROW('NFR repository'!R32) &amp; "C" &amp; TEXT(36 + $AV$2,"0"),FALSE)&lt;&gt;""),'NFR repository'!I32,0)</f>
        <v>#REF!</v>
      </c>
      <c r="AW32" s="92">
        <f>IF(AND('NFR repository'!$H32=Params!$I$3,IFERROR(FIND(AW$1,'NFR repository'!$U32)&gt;0,FALSE)),'NFR repository'!$I32,0)</f>
        <v>0</v>
      </c>
      <c r="AX32" s="231">
        <f>IF(AND('NFR repository'!$H32=Params!$I$3,Synthesis!$I$8&lt;&gt;Params!$B$17,IFERROR(FIND(AX$1,'NFR repository'!$U32)&gt;0,FALSE)),'NFR repository'!$I32,0)</f>
        <v>0</v>
      </c>
      <c r="AY32" s="231">
        <f>IF(AND('NFR repository'!$H32=Params!$I$3,IFERROR(FIND(AY$1,'NFR repository'!$U32)&gt;0,FALSE)),'NFR repository'!$I32,0)</f>
        <v>0</v>
      </c>
      <c r="AZ32" s="231">
        <f>IF(AND('NFR repository'!$H32=Params!$I$3,IFERROR(FIND(AZ$1,'NFR repository'!$U32)&gt;0,FALSE)),'NFR repository'!$I32,0)</f>
        <v>0</v>
      </c>
      <c r="BA32" s="231">
        <f>IF(AND('NFR repository'!$H32=Params!$I$3,IFERROR(FIND(BA$1,'NFR repository'!$U32)&gt;0,FALSE)),'NFR repository'!$I32,0)</f>
        <v>0</v>
      </c>
      <c r="BB32" s="231">
        <f>IF(AND('NFR repository'!$H32=Params!$I$3,IFERROR(FIND(BB$1,'NFR repository'!$U32)&gt;0,FALSE)),'NFR repository'!$I32,0)</f>
        <v>0</v>
      </c>
      <c r="BC32" s="231">
        <f>IF(AND('NFR repository'!$H32=Params!$I$3,IFERROR(FIND(BC$1,'NFR repository'!$U32)&gt;0,FALSE)),'NFR repository'!$I32,0)</f>
        <v>0</v>
      </c>
      <c r="BD32" s="231">
        <f>IF(AND('NFR repository'!$H32=Params!$I$3,IFERROR(FIND(BD$1,'NFR repository'!$U32)&gt;0,FALSE)),'NFR repository'!$I32,0)</f>
        <v>0</v>
      </c>
      <c r="BE32" s="93">
        <f>IF(AND('NFR repository'!$H32=Params!$I$3,IFERROR(FIND(BE$1,'NFR repository'!$U32)&gt;0,FALSE)),'NFR repository'!$I32,0)</f>
        <v>0</v>
      </c>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row>
    <row r="33" spans="1:84" ht="45" x14ac:dyDescent="0.25">
      <c r="A33" s="1"/>
      <c r="B33" s="193" t="s">
        <v>212</v>
      </c>
      <c r="C33" s="194" t="s">
        <v>353</v>
      </c>
      <c r="D33" s="83" t="s">
        <v>781</v>
      </c>
      <c r="E33" s="86"/>
      <c r="F33" s="35" t="s">
        <v>583</v>
      </c>
      <c r="G33" s="51" t="s">
        <v>583</v>
      </c>
      <c r="H33" s="40" t="s">
        <v>472</v>
      </c>
      <c r="I33" s="72" t="s">
        <v>41</v>
      </c>
      <c r="J33" s="216"/>
      <c r="K33" s="216"/>
      <c r="L33" s="199"/>
      <c r="M33" s="80" t="s">
        <v>130</v>
      </c>
      <c r="N33" s="80" t="s">
        <v>139</v>
      </c>
      <c r="O33" s="51" t="s">
        <v>576</v>
      </c>
      <c r="P33" s="51" t="s">
        <v>577</v>
      </c>
      <c r="Q33" s="51" t="s">
        <v>46</v>
      </c>
      <c r="R33" s="51" t="s">
        <v>46</v>
      </c>
      <c r="S33" s="40" t="s">
        <v>46</v>
      </c>
      <c r="T33" s="40" t="s">
        <v>46</v>
      </c>
      <c r="U33" s="40" t="s">
        <v>591</v>
      </c>
      <c r="V33" s="40" t="s">
        <v>591</v>
      </c>
      <c r="W33" s="3"/>
      <c r="X33" s="3"/>
      <c r="Y33" s="3"/>
      <c r="Z33" s="3"/>
      <c r="AA33" s="3"/>
      <c r="AB33" s="3"/>
      <c r="AC33" s="3"/>
      <c r="AD33" s="3"/>
      <c r="AE33" s="3"/>
      <c r="AF33" s="3"/>
      <c r="AG33" s="3"/>
      <c r="AH33" s="3"/>
      <c r="AI33" s="3"/>
      <c r="AJ33" s="3"/>
      <c r="AK33" s="3"/>
      <c r="AL33" s="3"/>
      <c r="AM33" s="3"/>
      <c r="AN33" s="3"/>
      <c r="AO33" s="3"/>
      <c r="AP33" s="3"/>
      <c r="AQ33" s="3"/>
      <c r="AR33" s="2"/>
      <c r="AS33" s="92" t="e">
        <f ca="1">IF(AND('NFR repository'!H33=Params!$I$3,INDIRECT("'NFR repository'!L" &amp; ROW('NFR repository'!A33) &amp; "C" &amp; TEXT(24 + $AS$2,"0"),FALSE)&lt;&gt;""),'NFR repository'!I33,0)</f>
        <v>#REF!</v>
      </c>
      <c r="AT33" s="168" t="e">
        <f ca="1">IF(AND('NFR repository'!H33=Params!$I$3,INDIRECT("'NFR repository'!L" &amp; ROW('NFR repository'!R33) &amp; "C" &amp; TEXT(28 + $AT$2,"0"),FALSE)&lt;&gt;""),'NFR repository'!I33,0)</f>
        <v>#REF!</v>
      </c>
      <c r="AU33" s="168" t="e">
        <f ca="1">IF(AND('NFR repository'!H33=Params!$I$3,INDIRECT("'NFR repository'!L" &amp; ROW('NFR repository'!R33) &amp; "C" &amp; TEXT(32 + $AU$2,"0"),FALSE)&lt;&gt;""),'NFR repository'!I33,0)</f>
        <v>#REF!</v>
      </c>
      <c r="AV33" s="233" t="e">
        <f ca="1">IF(AND('NFR repository'!H33=Params!$I$3,INDIRECT("'NFR repository'!L" &amp; ROW('NFR repository'!R33) &amp; "C" &amp; TEXT(36 + $AV$2,"0"),FALSE)&lt;&gt;""),'NFR repository'!I33,0)</f>
        <v>#REF!</v>
      </c>
      <c r="AW33" s="92">
        <f>IF(AND('NFR repository'!$H33=Params!$I$3,IFERROR(FIND(AW$1,'NFR repository'!$U33)&gt;0,FALSE)),'NFR repository'!$I33,0)</f>
        <v>0</v>
      </c>
      <c r="AX33" s="231">
        <f>IF(AND('NFR repository'!$H33=Params!$I$3,Synthesis!$I$8&lt;&gt;Params!$B$17,IFERROR(FIND(AX$1,'NFR repository'!$U33)&gt;0,FALSE)),'NFR repository'!$I33,0)</f>
        <v>0</v>
      </c>
      <c r="AY33" s="231">
        <f>IF(AND('NFR repository'!$H33=Params!$I$3,IFERROR(FIND(AY$1,'NFR repository'!$U33)&gt;0,FALSE)),'NFR repository'!$I33,0)</f>
        <v>0</v>
      </c>
      <c r="AZ33" s="231">
        <f>IF(AND('NFR repository'!$H33=Params!$I$3,IFERROR(FIND(AZ$1,'NFR repository'!$U33)&gt;0,FALSE)),'NFR repository'!$I33,0)</f>
        <v>0</v>
      </c>
      <c r="BA33" s="231">
        <f>IF(AND('NFR repository'!$H33=Params!$I$3,IFERROR(FIND(BA$1,'NFR repository'!$U33)&gt;0,FALSE)),'NFR repository'!$I33,0)</f>
        <v>0</v>
      </c>
      <c r="BB33" s="231">
        <f>IF(AND('NFR repository'!$H33=Params!$I$3,IFERROR(FIND(BB$1,'NFR repository'!$U33)&gt;0,FALSE)),'NFR repository'!$I33,0)</f>
        <v>0</v>
      </c>
      <c r="BC33" s="231">
        <f>IF(AND('NFR repository'!$H33=Params!$I$3,IFERROR(FIND(BC$1,'NFR repository'!$U33)&gt;0,FALSE)),'NFR repository'!$I33,0)</f>
        <v>0</v>
      </c>
      <c r="BD33" s="231">
        <f>IF(AND('NFR repository'!$H33=Params!$I$3,IFERROR(FIND(BD$1,'NFR repository'!$U33)&gt;0,FALSE)),'NFR repository'!$I33,0)</f>
        <v>0</v>
      </c>
      <c r="BE33" s="93">
        <f>IF(AND('NFR repository'!$H33=Params!$I$3,IFERROR(FIND(BE$1,'NFR repository'!$U33)&gt;0,FALSE)),'NFR repository'!$I33,0)</f>
        <v>0</v>
      </c>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row>
    <row r="34" spans="1:84" ht="60" x14ac:dyDescent="0.25">
      <c r="A34" s="1"/>
      <c r="B34" s="193" t="s">
        <v>338</v>
      </c>
      <c r="C34" s="194" t="s">
        <v>354</v>
      </c>
      <c r="D34" s="36" t="s">
        <v>137</v>
      </c>
      <c r="E34" s="86" t="s">
        <v>330</v>
      </c>
      <c r="F34" s="38" t="s">
        <v>287</v>
      </c>
      <c r="G34" s="78" t="s">
        <v>493</v>
      </c>
      <c r="H34" s="40" t="s">
        <v>472</v>
      </c>
      <c r="I34" s="72" t="s">
        <v>41</v>
      </c>
      <c r="J34" s="216"/>
      <c r="K34" s="216"/>
      <c r="L34" s="199"/>
      <c r="M34" s="80" t="s">
        <v>139</v>
      </c>
      <c r="N34" s="80" t="s">
        <v>139</v>
      </c>
      <c r="O34" s="51" t="s">
        <v>576</v>
      </c>
      <c r="P34" s="51" t="s">
        <v>577</v>
      </c>
      <c r="Q34" s="51" t="s">
        <v>151</v>
      </c>
      <c r="R34" s="51" t="s">
        <v>151</v>
      </c>
      <c r="S34" s="38" t="s">
        <v>494</v>
      </c>
      <c r="T34" s="40" t="s">
        <v>46</v>
      </c>
      <c r="U34" s="40" t="s">
        <v>144</v>
      </c>
      <c r="V34" s="40" t="s">
        <v>144</v>
      </c>
      <c r="W34" s="3"/>
      <c r="X34" s="3"/>
      <c r="Y34" s="3"/>
      <c r="Z34" s="3"/>
      <c r="AA34" s="3"/>
      <c r="AB34" s="3"/>
      <c r="AC34" s="3"/>
      <c r="AD34" s="3"/>
      <c r="AE34" s="3"/>
      <c r="AF34" s="3"/>
      <c r="AG34" s="3"/>
      <c r="AH34" s="3"/>
      <c r="AI34" s="3"/>
      <c r="AJ34" s="3"/>
      <c r="AK34" s="3"/>
      <c r="AL34" s="3"/>
      <c r="AM34" s="3"/>
      <c r="AN34" s="3"/>
      <c r="AO34" s="3"/>
      <c r="AP34" s="3"/>
      <c r="AQ34" s="3"/>
      <c r="AR34" s="2"/>
      <c r="AS34" s="92" t="e">
        <f ca="1">IF(AND('NFR repository'!H34=Params!$I$3,INDIRECT("'NFR repository'!L" &amp; ROW('NFR repository'!A34) &amp; "C" &amp; TEXT(24 + $AS$2,"0"),FALSE)&lt;&gt;""),'NFR repository'!I34,0)</f>
        <v>#REF!</v>
      </c>
      <c r="AT34" s="168" t="e">
        <f ca="1">IF(AND('NFR repository'!H34=Params!$I$3,INDIRECT("'NFR repository'!L" &amp; ROW('NFR repository'!R34) &amp; "C" &amp; TEXT(28 + $AT$2,"0"),FALSE)&lt;&gt;""),'NFR repository'!I34,0)</f>
        <v>#REF!</v>
      </c>
      <c r="AU34" s="168" t="e">
        <f ca="1">IF(AND('NFR repository'!H34=Params!$I$3,INDIRECT("'NFR repository'!L" &amp; ROW('NFR repository'!R34) &amp; "C" &amp; TEXT(32 + $AU$2,"0"),FALSE)&lt;&gt;""),'NFR repository'!I34,0)</f>
        <v>#REF!</v>
      </c>
      <c r="AV34" s="233" t="e">
        <f ca="1">IF(AND('NFR repository'!H34=Params!$I$3,INDIRECT("'NFR repository'!L" &amp; ROW('NFR repository'!R34) &amp; "C" &amp; TEXT(36 + $AV$2,"0"),FALSE)&lt;&gt;""),'NFR repository'!I34,0)</f>
        <v>#REF!</v>
      </c>
      <c r="AW34" s="92">
        <f>IF(AND('NFR repository'!$H34=Params!$I$3,IFERROR(FIND(AW$1,'NFR repository'!$U34)&gt;0,FALSE)),'NFR repository'!$I34,0)</f>
        <v>0</v>
      </c>
      <c r="AX34" s="231">
        <f>IF(AND('NFR repository'!$H34=Params!$I$3,Synthesis!$I$8&lt;&gt;Params!$B$17,IFERROR(FIND(AX$1,'NFR repository'!$U34)&gt;0,FALSE)),'NFR repository'!$I34,0)</f>
        <v>0</v>
      </c>
      <c r="AY34" s="231">
        <f>IF(AND('NFR repository'!$H34=Params!$I$3,IFERROR(FIND(AY$1,'NFR repository'!$U34)&gt;0,FALSE)),'NFR repository'!$I34,0)</f>
        <v>0</v>
      </c>
      <c r="AZ34" s="231">
        <f>IF(AND('NFR repository'!$H34=Params!$I$3,IFERROR(FIND(AZ$1,'NFR repository'!$U34)&gt;0,FALSE)),'NFR repository'!$I34,0)</f>
        <v>0</v>
      </c>
      <c r="BA34" s="231">
        <f>IF(AND('NFR repository'!$H34=Params!$I$3,IFERROR(FIND(BA$1,'NFR repository'!$U34)&gt;0,FALSE)),'NFR repository'!$I34,0)</f>
        <v>0</v>
      </c>
      <c r="BB34" s="231">
        <f>IF(AND('NFR repository'!$H34=Params!$I$3,IFERROR(FIND(BB$1,'NFR repository'!$U34)&gt;0,FALSE)),'NFR repository'!$I34,0)</f>
        <v>0</v>
      </c>
      <c r="BC34" s="231">
        <f>IF(AND('NFR repository'!$H34=Params!$I$3,IFERROR(FIND(BC$1,'NFR repository'!$U34)&gt;0,FALSE)),'NFR repository'!$I34,0)</f>
        <v>0</v>
      </c>
      <c r="BD34" s="231">
        <f>IF(AND('NFR repository'!$H34=Params!$I$3,IFERROR(FIND(BD$1,'NFR repository'!$U34)&gt;0,FALSE)),'NFR repository'!$I34,0)</f>
        <v>0</v>
      </c>
      <c r="BE34" s="93">
        <f>IF(AND('NFR repository'!$H34=Params!$I$3,IFERROR(FIND(BE$1,'NFR repository'!$U34)&gt;0,FALSE)),'NFR repository'!$I34,0)</f>
        <v>0</v>
      </c>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row>
    <row r="35" spans="1:84" ht="15.75" x14ac:dyDescent="0.25">
      <c r="A35" s="1"/>
      <c r="B35" s="52" t="s">
        <v>60</v>
      </c>
      <c r="C35" s="39" t="s">
        <v>117</v>
      </c>
      <c r="D35" s="82"/>
      <c r="E35" s="82"/>
      <c r="F35" s="4"/>
      <c r="G35" s="77"/>
      <c r="H35" s="4"/>
      <c r="I35" s="49"/>
      <c r="J35" s="213"/>
      <c r="K35" s="213"/>
      <c r="L35" s="189"/>
      <c r="M35" s="76"/>
      <c r="N35" s="76"/>
      <c r="O35" s="77"/>
      <c r="P35" s="77"/>
      <c r="Q35" s="77"/>
      <c r="R35" s="77"/>
      <c r="S35" s="4"/>
      <c r="T35" s="4"/>
      <c r="U35" s="4"/>
      <c r="V35" s="4"/>
      <c r="W35" s="4"/>
      <c r="X35" s="4"/>
      <c r="Y35" s="4"/>
      <c r="Z35" s="4"/>
      <c r="AA35" s="4"/>
      <c r="AB35" s="4"/>
      <c r="AC35" s="4"/>
      <c r="AD35" s="4"/>
      <c r="AE35" s="4"/>
      <c r="AF35" s="4"/>
      <c r="AG35" s="4"/>
      <c r="AH35" s="4"/>
      <c r="AI35" s="4"/>
      <c r="AJ35" s="4"/>
      <c r="AK35" s="4"/>
      <c r="AL35" s="4"/>
      <c r="AM35" s="4"/>
      <c r="AN35" s="4"/>
      <c r="AO35" s="4"/>
      <c r="AP35" s="4"/>
      <c r="AQ35" s="4"/>
      <c r="AR35" s="2"/>
      <c r="AS35" s="92" t="e">
        <f ca="1">IF(AND('NFR repository'!H35=Params!$I$3,INDIRECT("'NFR repository'!L" &amp; ROW('NFR repository'!A35) &amp; "C" &amp; TEXT(24 + $AS$2,"0"),FALSE)&lt;&gt;""),'NFR repository'!I35,0)</f>
        <v>#REF!</v>
      </c>
      <c r="AT35" s="168" t="e">
        <f ca="1">IF(AND('NFR repository'!H35=Params!$I$3,INDIRECT("'NFR repository'!L" &amp; ROW('NFR repository'!R35) &amp; "C" &amp; TEXT(28 + $AT$2,"0"),FALSE)&lt;&gt;""),'NFR repository'!I35,0)</f>
        <v>#REF!</v>
      </c>
      <c r="AU35" s="168" t="e">
        <f ca="1">IF(AND('NFR repository'!H35=Params!$I$3,INDIRECT("'NFR repository'!L" &amp; ROW('NFR repository'!R35) &amp; "C" &amp; TEXT(32 + $AU$2,"0"),FALSE)&lt;&gt;""),'NFR repository'!I35,0)</f>
        <v>#REF!</v>
      </c>
      <c r="AV35" s="233" t="e">
        <f ca="1">IF(AND('NFR repository'!H35=Params!$I$3,INDIRECT("'NFR repository'!L" &amp; ROW('NFR repository'!R35) &amp; "C" &amp; TEXT(36 + $AV$2,"0"),FALSE)&lt;&gt;""),'NFR repository'!I35,0)</f>
        <v>#REF!</v>
      </c>
      <c r="AW35" s="92">
        <f>IF(AND('NFR repository'!$H35=Params!$I$3,IFERROR(FIND(AW$1,'NFR repository'!$U35)&gt;0,FALSE)),'NFR repository'!$I35,0)</f>
        <v>0</v>
      </c>
      <c r="AX35" s="231">
        <f>IF(AND('NFR repository'!$H35=Params!$I$3,Synthesis!$I$8&lt;&gt;Params!$B$17,IFERROR(FIND(AX$1,'NFR repository'!$U35)&gt;0,FALSE)),'NFR repository'!$I35,0)</f>
        <v>0</v>
      </c>
      <c r="AY35" s="231">
        <f>IF(AND('NFR repository'!$H35=Params!$I$3,IFERROR(FIND(AY$1,'NFR repository'!$U35)&gt;0,FALSE)),'NFR repository'!$I35,0)</f>
        <v>0</v>
      </c>
      <c r="AZ35" s="231">
        <f>IF(AND('NFR repository'!$H35=Params!$I$3,IFERROR(FIND(AZ$1,'NFR repository'!$U35)&gt;0,FALSE)),'NFR repository'!$I35,0)</f>
        <v>0</v>
      </c>
      <c r="BA35" s="231">
        <f>IF(AND('NFR repository'!$H35=Params!$I$3,IFERROR(FIND(BA$1,'NFR repository'!$U35)&gt;0,FALSE)),'NFR repository'!$I35,0)</f>
        <v>0</v>
      </c>
      <c r="BB35" s="231">
        <f>IF(AND('NFR repository'!$H35=Params!$I$3,IFERROR(FIND(BB$1,'NFR repository'!$U35)&gt;0,FALSE)),'NFR repository'!$I35,0)</f>
        <v>0</v>
      </c>
      <c r="BC35" s="231">
        <f>IF(AND('NFR repository'!$H35=Params!$I$3,IFERROR(FIND(BC$1,'NFR repository'!$U35)&gt;0,FALSE)),'NFR repository'!$I35,0)</f>
        <v>0</v>
      </c>
      <c r="BD35" s="231">
        <f>IF(AND('NFR repository'!$H35=Params!$I$3,IFERROR(FIND(BD$1,'NFR repository'!$U35)&gt;0,FALSE)),'NFR repository'!$I35,0)</f>
        <v>0</v>
      </c>
      <c r="BE35" s="93">
        <f>IF(AND('NFR repository'!$H35=Params!$I$3,IFERROR(FIND(BE$1,'NFR repository'!$U35)&gt;0,FALSE)),'NFR repository'!$I35,0)</f>
        <v>0</v>
      </c>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row>
    <row r="36" spans="1:84" ht="45" x14ac:dyDescent="0.25">
      <c r="A36" s="1"/>
      <c r="B36" s="193" t="s">
        <v>213</v>
      </c>
      <c r="C36" s="194" t="s">
        <v>355</v>
      </c>
      <c r="D36" s="87" t="s">
        <v>137</v>
      </c>
      <c r="E36" s="87" t="s">
        <v>331</v>
      </c>
      <c r="F36" s="35" t="s">
        <v>133</v>
      </c>
      <c r="G36" s="51" t="s">
        <v>744</v>
      </c>
      <c r="H36" s="35" t="s">
        <v>472</v>
      </c>
      <c r="I36" s="72" t="s">
        <v>41</v>
      </c>
      <c r="J36" s="215"/>
      <c r="K36" s="215"/>
      <c r="L36" s="201"/>
      <c r="M36" s="80" t="s">
        <v>558</v>
      </c>
      <c r="N36" s="80" t="s">
        <v>143</v>
      </c>
      <c r="O36" s="51" t="s">
        <v>573</v>
      </c>
      <c r="P36" s="51" t="s">
        <v>577</v>
      </c>
      <c r="Q36" s="51" t="s">
        <v>46</v>
      </c>
      <c r="R36" s="51" t="s">
        <v>46</v>
      </c>
      <c r="S36" s="35" t="s">
        <v>46</v>
      </c>
      <c r="T36" s="35" t="s">
        <v>46</v>
      </c>
      <c r="U36" s="35" t="s">
        <v>146</v>
      </c>
      <c r="V36" s="38" t="s">
        <v>146</v>
      </c>
      <c r="W36" s="3"/>
      <c r="X36" s="3"/>
      <c r="Y36" s="3"/>
      <c r="Z36" s="3"/>
      <c r="AA36" s="3"/>
      <c r="AB36" s="3"/>
      <c r="AC36" s="3"/>
      <c r="AD36" s="3"/>
      <c r="AE36" s="3"/>
      <c r="AF36" s="3"/>
      <c r="AG36" s="3"/>
      <c r="AH36" s="3"/>
      <c r="AI36" s="3"/>
      <c r="AJ36" s="3"/>
      <c r="AK36" s="3"/>
      <c r="AL36" s="3"/>
      <c r="AM36" s="3"/>
      <c r="AN36" s="3"/>
      <c r="AO36" s="3"/>
      <c r="AP36" s="3"/>
      <c r="AQ36" s="3"/>
      <c r="AR36" s="2"/>
      <c r="AS36" s="92" t="e">
        <f ca="1">IF(AND('NFR repository'!H36=Params!$I$3,INDIRECT("'NFR repository'!L" &amp; ROW('NFR repository'!A36) &amp; "C" &amp; TEXT(24 + $AS$2,"0"),FALSE)&lt;&gt;""),'NFR repository'!I36,0)</f>
        <v>#REF!</v>
      </c>
      <c r="AT36" s="168" t="e">
        <f ca="1">IF(AND('NFR repository'!H36=Params!$I$3,INDIRECT("'NFR repository'!L" &amp; ROW('NFR repository'!R36) &amp; "C" &amp; TEXT(28 + $AT$2,"0"),FALSE)&lt;&gt;""),'NFR repository'!I36,0)</f>
        <v>#REF!</v>
      </c>
      <c r="AU36" s="168" t="e">
        <f ca="1">IF(AND('NFR repository'!H36=Params!$I$3,INDIRECT("'NFR repository'!L" &amp; ROW('NFR repository'!R36) &amp; "C" &amp; TEXT(32 + $AU$2,"0"),FALSE)&lt;&gt;""),'NFR repository'!I36,0)</f>
        <v>#REF!</v>
      </c>
      <c r="AV36" s="233" t="e">
        <f ca="1">IF(AND('NFR repository'!H36=Params!$I$3,INDIRECT("'NFR repository'!L" &amp; ROW('NFR repository'!R36) &amp; "C" &amp; TEXT(36 + $AV$2,"0"),FALSE)&lt;&gt;""),'NFR repository'!I36,0)</f>
        <v>#REF!</v>
      </c>
      <c r="AW36" s="92">
        <f>IF(AND('NFR repository'!$H36=Params!$I$3,IFERROR(FIND(AW$1,'NFR repository'!$U36)&gt;0,FALSE)),'NFR repository'!$I36,0)</f>
        <v>0</v>
      </c>
      <c r="AX36" s="231">
        <f>IF(AND('NFR repository'!$H36=Params!$I$3,Synthesis!$I$8&lt;&gt;Params!$B$17,IFERROR(FIND(AX$1,'NFR repository'!$U36)&gt;0,FALSE)),'NFR repository'!$I36,0)</f>
        <v>0</v>
      </c>
      <c r="AY36" s="231">
        <f>IF(AND('NFR repository'!$H36=Params!$I$3,IFERROR(FIND(AY$1,'NFR repository'!$U36)&gt;0,FALSE)),'NFR repository'!$I36,0)</f>
        <v>0</v>
      </c>
      <c r="AZ36" s="231">
        <f>IF(AND('NFR repository'!$H36=Params!$I$3,IFERROR(FIND(AZ$1,'NFR repository'!$U36)&gt;0,FALSE)),'NFR repository'!$I36,0)</f>
        <v>0</v>
      </c>
      <c r="BA36" s="231">
        <f>IF(AND('NFR repository'!$H36=Params!$I$3,IFERROR(FIND(BA$1,'NFR repository'!$U36)&gt;0,FALSE)),'NFR repository'!$I36,0)</f>
        <v>0</v>
      </c>
      <c r="BB36" s="231">
        <f>IF(AND('NFR repository'!$H36=Params!$I$3,IFERROR(FIND(BB$1,'NFR repository'!$U36)&gt;0,FALSE)),'NFR repository'!$I36,0)</f>
        <v>0</v>
      </c>
      <c r="BC36" s="231">
        <f>IF(AND('NFR repository'!$H36=Params!$I$3,IFERROR(FIND(BC$1,'NFR repository'!$U36)&gt;0,FALSE)),'NFR repository'!$I36,0)</f>
        <v>0</v>
      </c>
      <c r="BD36" s="231">
        <f>IF(AND('NFR repository'!$H36=Params!$I$3,IFERROR(FIND(BD$1,'NFR repository'!$U36)&gt;0,FALSE)),'NFR repository'!$I36,0)</f>
        <v>0</v>
      </c>
      <c r="BE36" s="93">
        <f>IF(AND('NFR repository'!$H36=Params!$I$3,IFERROR(FIND(BE$1,'NFR repository'!$U36)&gt;0,FALSE)),'NFR repository'!$I36,0)</f>
        <v>0</v>
      </c>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row>
    <row r="37" spans="1:84" ht="89.25" x14ac:dyDescent="0.25">
      <c r="A37" s="1"/>
      <c r="B37" s="193" t="s">
        <v>329</v>
      </c>
      <c r="C37" s="194" t="s">
        <v>356</v>
      </c>
      <c r="D37" s="36" t="s">
        <v>137</v>
      </c>
      <c r="E37" s="36" t="s">
        <v>344</v>
      </c>
      <c r="F37" s="35" t="s">
        <v>133</v>
      </c>
      <c r="G37" s="51" t="s">
        <v>313</v>
      </c>
      <c r="H37" s="35" t="s">
        <v>472</v>
      </c>
      <c r="I37" s="72" t="s">
        <v>41</v>
      </c>
      <c r="J37" s="215"/>
      <c r="K37" s="215"/>
      <c r="L37" s="195"/>
      <c r="M37" s="80" t="s">
        <v>558</v>
      </c>
      <c r="N37" s="80" t="s">
        <v>567</v>
      </c>
      <c r="O37" s="51" t="s">
        <v>573</v>
      </c>
      <c r="P37" s="51" t="s">
        <v>578</v>
      </c>
      <c r="Q37" s="51" t="s">
        <v>156</v>
      </c>
      <c r="R37" s="51" t="s">
        <v>314</v>
      </c>
      <c r="S37" s="3" t="s">
        <v>343</v>
      </c>
      <c r="T37" s="35" t="s">
        <v>46</v>
      </c>
      <c r="U37" s="35" t="s">
        <v>320</v>
      </c>
      <c r="V37" s="35" t="s">
        <v>320</v>
      </c>
      <c r="W37" s="3"/>
      <c r="X37" s="3"/>
      <c r="Y37" s="3"/>
      <c r="Z37" s="3"/>
      <c r="AA37" s="3"/>
      <c r="AB37" s="3"/>
      <c r="AC37" s="3"/>
      <c r="AD37" s="3"/>
      <c r="AE37" s="3"/>
      <c r="AF37" s="3"/>
      <c r="AG37" s="3"/>
      <c r="AH37" s="3"/>
      <c r="AI37" s="3"/>
      <c r="AJ37" s="3"/>
      <c r="AK37" s="3"/>
      <c r="AL37" s="3"/>
      <c r="AM37" s="3"/>
      <c r="AN37" s="3"/>
      <c r="AO37" s="3"/>
      <c r="AP37" s="3"/>
      <c r="AQ37" s="3"/>
      <c r="AR37" s="2"/>
      <c r="AS37" s="92" t="e">
        <f ca="1">IF(AND('NFR repository'!H37=Params!$I$3,INDIRECT("'NFR repository'!L" &amp; ROW('NFR repository'!A37) &amp; "C" &amp; TEXT(24 + $AS$2,"0"),FALSE)&lt;&gt;""),'NFR repository'!I37,0)</f>
        <v>#REF!</v>
      </c>
      <c r="AT37" s="168" t="e">
        <f ca="1">IF(AND('NFR repository'!H37=Params!$I$3,INDIRECT("'NFR repository'!L" &amp; ROW('NFR repository'!R37) &amp; "C" &amp; TEXT(28 + $AT$2,"0"),FALSE)&lt;&gt;""),'NFR repository'!I37,0)</f>
        <v>#REF!</v>
      </c>
      <c r="AU37" s="168" t="e">
        <f ca="1">IF(AND('NFR repository'!H37=Params!$I$3,INDIRECT("'NFR repository'!L" &amp; ROW('NFR repository'!R37) &amp; "C" &amp; TEXT(32 + $AU$2,"0"),FALSE)&lt;&gt;""),'NFR repository'!I37,0)</f>
        <v>#REF!</v>
      </c>
      <c r="AV37" s="233" t="e">
        <f ca="1">IF(AND('NFR repository'!H37=Params!$I$3,INDIRECT("'NFR repository'!L" &amp; ROW('NFR repository'!R37) &amp; "C" &amp; TEXT(36 + $AV$2,"0"),FALSE)&lt;&gt;""),'NFR repository'!I37,0)</f>
        <v>#REF!</v>
      </c>
      <c r="AW37" s="92">
        <f>IF(AND('NFR repository'!$H37=Params!$I$3,IFERROR(FIND(AW$1,'NFR repository'!$U37)&gt;0,FALSE)),'NFR repository'!$I37,0)</f>
        <v>0</v>
      </c>
      <c r="AX37" s="231">
        <f>IF(AND('NFR repository'!$H37=Params!$I$3,Synthesis!$I$8&lt;&gt;Params!$B$17,IFERROR(FIND(AX$1,'NFR repository'!$U37)&gt;0,FALSE)),'NFR repository'!$I37,0)</f>
        <v>0</v>
      </c>
      <c r="AY37" s="231">
        <f>IF(AND('NFR repository'!$H37=Params!$I$3,IFERROR(FIND(AY$1,'NFR repository'!$U37)&gt;0,FALSE)),'NFR repository'!$I37,0)</f>
        <v>0</v>
      </c>
      <c r="AZ37" s="231">
        <f>IF(AND('NFR repository'!$H37=Params!$I$3,IFERROR(FIND(AZ$1,'NFR repository'!$U37)&gt;0,FALSE)),'NFR repository'!$I37,0)</f>
        <v>0</v>
      </c>
      <c r="BA37" s="231">
        <f>IF(AND('NFR repository'!$H37=Params!$I$3,IFERROR(FIND(BA$1,'NFR repository'!$U37)&gt;0,FALSE)),'NFR repository'!$I37,0)</f>
        <v>0</v>
      </c>
      <c r="BB37" s="231">
        <f>IF(AND('NFR repository'!$H37=Params!$I$3,IFERROR(FIND(BB$1,'NFR repository'!$U37)&gt;0,FALSE)),'NFR repository'!$I37,0)</f>
        <v>0</v>
      </c>
      <c r="BC37" s="231">
        <f>IF(AND('NFR repository'!$H37=Params!$I$3,IFERROR(FIND(BC$1,'NFR repository'!$U37)&gt;0,FALSE)),'NFR repository'!$I37,0)</f>
        <v>0</v>
      </c>
      <c r="BD37" s="231">
        <f>IF(AND('NFR repository'!$H37=Params!$I$3,IFERROR(FIND(BD$1,'NFR repository'!$U37)&gt;0,FALSE)),'NFR repository'!$I37,0)</f>
        <v>0</v>
      </c>
      <c r="BE37" s="93">
        <f>IF(AND('NFR repository'!$H37=Params!$I$3,IFERROR(FIND(BE$1,'NFR repository'!$U37)&gt;0,FALSE)),'NFR repository'!$I37,0)</f>
        <v>0</v>
      </c>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row>
    <row r="38" spans="1:84" ht="18.75" x14ac:dyDescent="0.25">
      <c r="A38" s="1"/>
      <c r="B38" s="182">
        <v>3</v>
      </c>
      <c r="C38" s="183" t="s">
        <v>66</v>
      </c>
      <c r="D38" s="184"/>
      <c r="E38" s="184"/>
      <c r="F38" s="185"/>
      <c r="G38" s="197"/>
      <c r="H38" s="185"/>
      <c r="I38" s="186"/>
      <c r="J38" s="212"/>
      <c r="K38" s="212"/>
      <c r="L38" s="187"/>
      <c r="M38" s="198"/>
      <c r="N38" s="198"/>
      <c r="O38" s="197"/>
      <c r="P38" s="197"/>
      <c r="Q38" s="197"/>
      <c r="R38" s="197"/>
      <c r="S38" s="185"/>
      <c r="T38" s="185"/>
      <c r="U38" s="184"/>
      <c r="V38" s="184"/>
      <c r="W38" s="184"/>
      <c r="X38" s="185"/>
      <c r="Y38" s="185"/>
      <c r="Z38" s="185"/>
      <c r="AA38" s="185"/>
      <c r="AB38" s="185"/>
      <c r="AC38" s="185"/>
      <c r="AD38" s="185"/>
      <c r="AE38" s="185"/>
      <c r="AF38" s="185"/>
      <c r="AG38" s="185"/>
      <c r="AH38" s="185"/>
      <c r="AI38" s="185"/>
      <c r="AJ38" s="185"/>
      <c r="AK38" s="185"/>
      <c r="AL38" s="185"/>
      <c r="AM38" s="185"/>
      <c r="AN38" s="185"/>
      <c r="AO38" s="185"/>
      <c r="AP38" s="185"/>
      <c r="AQ38" s="185"/>
      <c r="AR38" s="2"/>
      <c r="AS38" s="92" t="e">
        <f ca="1">IF(AND('NFR repository'!H38=Params!$I$3,INDIRECT("'NFR repository'!L" &amp; ROW('NFR repository'!A38) &amp; "C" &amp; TEXT(24 + $AS$2,"0"),FALSE)&lt;&gt;""),'NFR repository'!I38,0)</f>
        <v>#REF!</v>
      </c>
      <c r="AT38" s="168" t="e">
        <f ca="1">IF(AND('NFR repository'!H38=Params!$I$3,INDIRECT("'NFR repository'!L" &amp; ROW('NFR repository'!R38) &amp; "C" &amp; TEXT(28 + $AT$2,"0"),FALSE)&lt;&gt;""),'NFR repository'!I38,0)</f>
        <v>#REF!</v>
      </c>
      <c r="AU38" s="168" t="e">
        <f ca="1">IF(AND('NFR repository'!H38=Params!$I$3,INDIRECT("'NFR repository'!L" &amp; ROW('NFR repository'!R38) &amp; "C" &amp; TEXT(32 + $AU$2,"0"),FALSE)&lt;&gt;""),'NFR repository'!I38,0)</f>
        <v>#REF!</v>
      </c>
      <c r="AV38" s="233" t="e">
        <f ca="1">IF(AND('NFR repository'!H38=Params!$I$3,INDIRECT("'NFR repository'!L" &amp; ROW('NFR repository'!R38) &amp; "C" &amp; TEXT(36 + $AV$2,"0"),FALSE)&lt;&gt;""),'NFR repository'!I38,0)</f>
        <v>#REF!</v>
      </c>
      <c r="AW38" s="92">
        <f>IF(AND('NFR repository'!$H38=Params!$I$3,IFERROR(FIND(AW$1,'NFR repository'!$U38)&gt;0,FALSE)),'NFR repository'!$I38,0)</f>
        <v>0</v>
      </c>
      <c r="AX38" s="231">
        <f>IF(AND('NFR repository'!$H38=Params!$I$3,Synthesis!$I$8&lt;&gt;Params!$B$17,IFERROR(FIND(AX$1,'NFR repository'!$U38)&gt;0,FALSE)),'NFR repository'!$I38,0)</f>
        <v>0</v>
      </c>
      <c r="AY38" s="231">
        <f>IF(AND('NFR repository'!$H38=Params!$I$3,IFERROR(FIND(AY$1,'NFR repository'!$U38)&gt;0,FALSE)),'NFR repository'!$I38,0)</f>
        <v>0</v>
      </c>
      <c r="AZ38" s="231">
        <f>IF(AND('NFR repository'!$H38=Params!$I$3,IFERROR(FIND(AZ$1,'NFR repository'!$U38)&gt;0,FALSE)),'NFR repository'!$I38,0)</f>
        <v>0</v>
      </c>
      <c r="BA38" s="231">
        <f>IF(AND('NFR repository'!$H38=Params!$I$3,IFERROR(FIND(BA$1,'NFR repository'!$U38)&gt;0,FALSE)),'NFR repository'!$I38,0)</f>
        <v>0</v>
      </c>
      <c r="BB38" s="231">
        <f>IF(AND('NFR repository'!$H38=Params!$I$3,IFERROR(FIND(BB$1,'NFR repository'!$U38)&gt;0,FALSE)),'NFR repository'!$I38,0)</f>
        <v>0</v>
      </c>
      <c r="BC38" s="231">
        <f>IF(AND('NFR repository'!$H38=Params!$I$3,IFERROR(FIND(BC$1,'NFR repository'!$U38)&gt;0,FALSE)),'NFR repository'!$I38,0)</f>
        <v>0</v>
      </c>
      <c r="BD38" s="231">
        <f>IF(AND('NFR repository'!$H38=Params!$I$3,IFERROR(FIND(BD$1,'NFR repository'!$U38)&gt;0,FALSE)),'NFR repository'!$I38,0)</f>
        <v>0</v>
      </c>
      <c r="BE38" s="93">
        <f>IF(AND('NFR repository'!$H38=Params!$I$3,IFERROR(FIND(BE$1,'NFR repository'!$U38)&gt;0,FALSE)),'NFR repository'!$I38,0)</f>
        <v>0</v>
      </c>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row>
    <row r="39" spans="1:84" ht="15.75" x14ac:dyDescent="0.25">
      <c r="A39" s="1"/>
      <c r="B39" s="52" t="s">
        <v>63</v>
      </c>
      <c r="C39" s="39" t="s">
        <v>89</v>
      </c>
      <c r="D39" s="82"/>
      <c r="E39" s="82"/>
      <c r="F39" s="4"/>
      <c r="G39" s="77"/>
      <c r="H39" s="4"/>
      <c r="I39" s="49"/>
      <c r="J39" s="213"/>
      <c r="K39" s="213"/>
      <c r="L39" s="189"/>
      <c r="M39" s="76"/>
      <c r="N39" s="76"/>
      <c r="O39" s="77"/>
      <c r="P39" s="77"/>
      <c r="Q39" s="77"/>
      <c r="R39" s="77"/>
      <c r="S39" s="4"/>
      <c r="T39" s="4"/>
      <c r="U39" s="4"/>
      <c r="V39" s="4"/>
      <c r="W39" s="4"/>
      <c r="X39" s="4"/>
      <c r="Y39" s="4"/>
      <c r="Z39" s="4"/>
      <c r="AA39" s="4"/>
      <c r="AB39" s="4"/>
      <c r="AC39" s="4"/>
      <c r="AD39" s="4"/>
      <c r="AE39" s="4"/>
      <c r="AF39" s="4"/>
      <c r="AG39" s="4"/>
      <c r="AH39" s="4"/>
      <c r="AI39" s="4"/>
      <c r="AJ39" s="4"/>
      <c r="AK39" s="4"/>
      <c r="AL39" s="4"/>
      <c r="AM39" s="4"/>
      <c r="AN39" s="4"/>
      <c r="AO39" s="4"/>
      <c r="AP39" s="4"/>
      <c r="AQ39" s="4"/>
      <c r="AR39" s="2"/>
      <c r="AS39" s="92" t="e">
        <f ca="1">IF(AND('NFR repository'!H39=Params!$I$3,INDIRECT("'NFR repository'!L" &amp; ROW('NFR repository'!A39) &amp; "C" &amp; TEXT(24 + $AS$2,"0"),FALSE)&lt;&gt;""),'NFR repository'!I39,0)</f>
        <v>#REF!</v>
      </c>
      <c r="AT39" s="168" t="e">
        <f ca="1">IF(AND('NFR repository'!H39=Params!$I$3,INDIRECT("'NFR repository'!L" &amp; ROW('NFR repository'!R39) &amp; "C" &amp; TEXT(28 + $AT$2,"0"),FALSE)&lt;&gt;""),'NFR repository'!I39,0)</f>
        <v>#REF!</v>
      </c>
      <c r="AU39" s="168" t="e">
        <f ca="1">IF(AND('NFR repository'!H39=Params!$I$3,INDIRECT("'NFR repository'!L" &amp; ROW('NFR repository'!R39) &amp; "C" &amp; TEXT(32 + $AU$2,"0"),FALSE)&lt;&gt;""),'NFR repository'!I39,0)</f>
        <v>#REF!</v>
      </c>
      <c r="AV39" s="233" t="e">
        <f ca="1">IF(AND('NFR repository'!H39=Params!$I$3,INDIRECT("'NFR repository'!L" &amp; ROW('NFR repository'!R39) &amp; "C" &amp; TEXT(36 + $AV$2,"0"),FALSE)&lt;&gt;""),'NFR repository'!I39,0)</f>
        <v>#REF!</v>
      </c>
      <c r="AW39" s="92">
        <f>IF(AND('NFR repository'!$H39=Params!$I$3,IFERROR(FIND(AW$1,'NFR repository'!$U39)&gt;0,FALSE)),'NFR repository'!$I39,0)</f>
        <v>0</v>
      </c>
      <c r="AX39" s="231">
        <f>IF(AND('NFR repository'!$H39=Params!$I$3,Synthesis!$I$8&lt;&gt;Params!$B$17,IFERROR(FIND(AX$1,'NFR repository'!$U39)&gt;0,FALSE)),'NFR repository'!$I39,0)</f>
        <v>0</v>
      </c>
      <c r="AY39" s="231">
        <f>IF(AND('NFR repository'!$H39=Params!$I$3,IFERROR(FIND(AY$1,'NFR repository'!$U39)&gt;0,FALSE)),'NFR repository'!$I39,0)</f>
        <v>0</v>
      </c>
      <c r="AZ39" s="231">
        <f>IF(AND('NFR repository'!$H39=Params!$I$3,IFERROR(FIND(AZ$1,'NFR repository'!$U39)&gt;0,FALSE)),'NFR repository'!$I39,0)</f>
        <v>0</v>
      </c>
      <c r="BA39" s="231">
        <f>IF(AND('NFR repository'!$H39=Params!$I$3,IFERROR(FIND(BA$1,'NFR repository'!$U39)&gt;0,FALSE)),'NFR repository'!$I39,0)</f>
        <v>0</v>
      </c>
      <c r="BB39" s="231">
        <f>IF(AND('NFR repository'!$H39=Params!$I$3,IFERROR(FIND(BB$1,'NFR repository'!$U39)&gt;0,FALSE)),'NFR repository'!$I39,0)</f>
        <v>0</v>
      </c>
      <c r="BC39" s="231">
        <f>IF(AND('NFR repository'!$H39=Params!$I$3,IFERROR(FIND(BC$1,'NFR repository'!$U39)&gt;0,FALSE)),'NFR repository'!$I39,0)</f>
        <v>0</v>
      </c>
      <c r="BD39" s="231">
        <f>IF(AND('NFR repository'!$H39=Params!$I$3,IFERROR(FIND(BD$1,'NFR repository'!$U39)&gt;0,FALSE)),'NFR repository'!$I39,0)</f>
        <v>0</v>
      </c>
      <c r="BE39" s="93">
        <f>IF(AND('NFR repository'!$H39=Params!$I$3,IFERROR(FIND(BE$1,'NFR repository'!$U39)&gt;0,FALSE)),'NFR repository'!$I39,0)</f>
        <v>0</v>
      </c>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row>
    <row r="40" spans="1:84" ht="63.75" x14ac:dyDescent="0.25">
      <c r="A40" s="1"/>
      <c r="B40" s="193" t="s">
        <v>214</v>
      </c>
      <c r="C40" s="194" t="s">
        <v>357</v>
      </c>
      <c r="D40" s="87" t="s">
        <v>137</v>
      </c>
      <c r="E40" s="36" t="s">
        <v>488</v>
      </c>
      <c r="F40" s="35" t="s">
        <v>592</v>
      </c>
      <c r="G40" s="51" t="s">
        <v>608</v>
      </c>
      <c r="H40" s="35" t="s">
        <v>472</v>
      </c>
      <c r="I40" s="72" t="s">
        <v>41</v>
      </c>
      <c r="J40" s="215"/>
      <c r="K40" s="215"/>
      <c r="L40" s="195"/>
      <c r="M40" s="79" t="s">
        <v>130</v>
      </c>
      <c r="N40" s="79" t="s">
        <v>139</v>
      </c>
      <c r="O40" s="51" t="s">
        <v>576</v>
      </c>
      <c r="P40" s="51" t="s">
        <v>579</v>
      </c>
      <c r="Q40" s="51" t="s">
        <v>156</v>
      </c>
      <c r="R40" s="51" t="s">
        <v>151</v>
      </c>
      <c r="S40" s="3" t="s">
        <v>157</v>
      </c>
      <c r="T40" s="35" t="s">
        <v>46</v>
      </c>
      <c r="U40" s="35" t="s">
        <v>591</v>
      </c>
      <c r="V40" s="35" t="s">
        <v>594</v>
      </c>
      <c r="W40" s="3"/>
      <c r="X40" s="3"/>
      <c r="Y40" s="3"/>
      <c r="Z40" s="3"/>
      <c r="AA40" s="3"/>
      <c r="AB40" s="3"/>
      <c r="AC40" s="3"/>
      <c r="AD40" s="3"/>
      <c r="AE40" s="3"/>
      <c r="AF40" s="3"/>
      <c r="AG40" s="3"/>
      <c r="AH40" s="3"/>
      <c r="AI40" s="3"/>
      <c r="AJ40" s="3"/>
      <c r="AK40" s="3"/>
      <c r="AL40" s="3"/>
      <c r="AM40" s="3"/>
      <c r="AN40" s="3"/>
      <c r="AO40" s="3"/>
      <c r="AP40" s="3"/>
      <c r="AQ40" s="3"/>
      <c r="AR40" s="2"/>
      <c r="AS40" s="92" t="e">
        <f ca="1">IF(AND('NFR repository'!H40=Params!$I$3,INDIRECT("'NFR repository'!L" &amp; ROW('NFR repository'!A40) &amp; "C" &amp; TEXT(24 + $AS$2,"0"),FALSE)&lt;&gt;""),'NFR repository'!I40,0)</f>
        <v>#REF!</v>
      </c>
      <c r="AT40" s="168" t="e">
        <f ca="1">IF(AND('NFR repository'!H40=Params!$I$3,INDIRECT("'NFR repository'!L" &amp; ROW('NFR repository'!R40) &amp; "C" &amp; TEXT(28 + $AT$2,"0"),FALSE)&lt;&gt;""),'NFR repository'!I40,0)</f>
        <v>#REF!</v>
      </c>
      <c r="AU40" s="168" t="e">
        <f ca="1">IF(AND('NFR repository'!H40=Params!$I$3,INDIRECT("'NFR repository'!L" &amp; ROW('NFR repository'!R40) &amp; "C" &amp; TEXT(32 + $AU$2,"0"),FALSE)&lt;&gt;""),'NFR repository'!I40,0)</f>
        <v>#REF!</v>
      </c>
      <c r="AV40" s="233" t="e">
        <f ca="1">IF(AND('NFR repository'!H40=Params!$I$3,INDIRECT("'NFR repository'!L" &amp; ROW('NFR repository'!R40) &amp; "C" &amp; TEXT(36 + $AV$2,"0"),FALSE)&lt;&gt;""),'NFR repository'!I40,0)</f>
        <v>#REF!</v>
      </c>
      <c r="AW40" s="92">
        <f>IF(AND('NFR repository'!$H40=Params!$I$3,IFERROR(FIND(AW$1,'NFR repository'!$U40)&gt;0,FALSE)),'NFR repository'!$I40,0)</f>
        <v>0</v>
      </c>
      <c r="AX40" s="231">
        <f>IF(AND('NFR repository'!$H40=Params!$I$3,Synthesis!$I$8&lt;&gt;Params!$B$17,IFERROR(FIND(AX$1,'NFR repository'!$U40)&gt;0,FALSE)),'NFR repository'!$I40,0)</f>
        <v>0</v>
      </c>
      <c r="AY40" s="231">
        <f>IF(AND('NFR repository'!$H40=Params!$I$3,IFERROR(FIND(AY$1,'NFR repository'!$U40)&gt;0,FALSE)),'NFR repository'!$I40,0)</f>
        <v>0</v>
      </c>
      <c r="AZ40" s="231">
        <f>IF(AND('NFR repository'!$H40=Params!$I$3,IFERROR(FIND(AZ$1,'NFR repository'!$U40)&gt;0,FALSE)),'NFR repository'!$I40,0)</f>
        <v>0</v>
      </c>
      <c r="BA40" s="231">
        <f>IF(AND('NFR repository'!$H40=Params!$I$3,IFERROR(FIND(BA$1,'NFR repository'!$U40)&gt;0,FALSE)),'NFR repository'!$I40,0)</f>
        <v>0</v>
      </c>
      <c r="BB40" s="231">
        <f>IF(AND('NFR repository'!$H40=Params!$I$3,IFERROR(FIND(BB$1,'NFR repository'!$U40)&gt;0,FALSE)),'NFR repository'!$I40,0)</f>
        <v>0</v>
      </c>
      <c r="BC40" s="231">
        <f>IF(AND('NFR repository'!$H40=Params!$I$3,IFERROR(FIND(BC$1,'NFR repository'!$U40)&gt;0,FALSE)),'NFR repository'!$I40,0)</f>
        <v>0</v>
      </c>
      <c r="BD40" s="231">
        <f>IF(AND('NFR repository'!$H40=Params!$I$3,IFERROR(FIND(BD$1,'NFR repository'!$U40)&gt;0,FALSE)),'NFR repository'!$I40,0)</f>
        <v>0</v>
      </c>
      <c r="BE40" s="93">
        <f>IF(AND('NFR repository'!$H40=Params!$I$3,IFERROR(FIND(BE$1,'NFR repository'!$U40)&gt;0,FALSE)),'NFR repository'!$I40,0)</f>
        <v>0</v>
      </c>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row>
    <row r="41" spans="1:84" ht="60" x14ac:dyDescent="0.25">
      <c r="A41" s="1"/>
      <c r="B41" s="193" t="s">
        <v>489</v>
      </c>
      <c r="C41" s="194" t="s">
        <v>490</v>
      </c>
      <c r="D41" s="83" t="s">
        <v>780</v>
      </c>
      <c r="E41" s="36" t="s">
        <v>837</v>
      </c>
      <c r="F41" s="35" t="s">
        <v>585</v>
      </c>
      <c r="G41" s="51" t="s">
        <v>583</v>
      </c>
      <c r="H41" s="35" t="s">
        <v>472</v>
      </c>
      <c r="I41" s="72" t="s">
        <v>41</v>
      </c>
      <c r="J41" s="215"/>
      <c r="K41" s="215"/>
      <c r="L41" s="195"/>
      <c r="M41" s="80" t="s">
        <v>558</v>
      </c>
      <c r="N41" s="79" t="s">
        <v>650</v>
      </c>
      <c r="O41" s="51" t="s">
        <v>576</v>
      </c>
      <c r="P41" s="51" t="s">
        <v>577</v>
      </c>
      <c r="Q41" s="51" t="s">
        <v>46</v>
      </c>
      <c r="R41" s="51" t="s">
        <v>46</v>
      </c>
      <c r="S41" s="35" t="s">
        <v>46</v>
      </c>
      <c r="T41" s="35" t="s">
        <v>46</v>
      </c>
      <c r="U41" s="35" t="s">
        <v>822</v>
      </c>
      <c r="V41" s="35" t="s">
        <v>594</v>
      </c>
      <c r="W41" s="3"/>
      <c r="X41" s="3"/>
      <c r="Y41" s="3"/>
      <c r="Z41" s="3"/>
      <c r="AA41" s="3"/>
      <c r="AB41" s="3"/>
      <c r="AC41" s="3"/>
      <c r="AD41" s="3"/>
      <c r="AE41" s="3"/>
      <c r="AF41" s="3"/>
      <c r="AG41" s="3"/>
      <c r="AH41" s="3"/>
      <c r="AI41" s="3"/>
      <c r="AJ41" s="3"/>
      <c r="AK41" s="3"/>
      <c r="AL41" s="3"/>
      <c r="AM41" s="3"/>
      <c r="AN41" s="3"/>
      <c r="AO41" s="3"/>
      <c r="AP41" s="3"/>
      <c r="AQ41" s="3"/>
      <c r="AR41" s="2"/>
      <c r="AS41" s="92" t="e">
        <f ca="1">IF(AND('NFR repository'!H41=Params!$I$3,INDIRECT("'NFR repository'!L" &amp; ROW('NFR repository'!A41) &amp; "C" &amp; TEXT(24 + $AS$2,"0"),FALSE)&lt;&gt;""),'NFR repository'!I41,0)</f>
        <v>#REF!</v>
      </c>
      <c r="AT41" s="168" t="e">
        <f ca="1">IF(AND('NFR repository'!H41=Params!$I$3,INDIRECT("'NFR repository'!L" &amp; ROW('NFR repository'!R41) &amp; "C" &amp; TEXT(28 + $AT$2,"0"),FALSE)&lt;&gt;""),'NFR repository'!I41,0)</f>
        <v>#REF!</v>
      </c>
      <c r="AU41" s="168" t="e">
        <f ca="1">IF(AND('NFR repository'!H41=Params!$I$3,INDIRECT("'NFR repository'!L" &amp; ROW('NFR repository'!R41) &amp; "C" &amp; TEXT(32 + $AU$2,"0"),FALSE)&lt;&gt;""),'NFR repository'!I41,0)</f>
        <v>#REF!</v>
      </c>
      <c r="AV41" s="233" t="e">
        <f ca="1">IF(AND('NFR repository'!H41=Params!$I$3,INDIRECT("'NFR repository'!L" &amp; ROW('NFR repository'!R41) &amp; "C" &amp; TEXT(36 + $AV$2,"0"),FALSE)&lt;&gt;""),'NFR repository'!I41,0)</f>
        <v>#REF!</v>
      </c>
      <c r="AW41" s="92">
        <f>IF(AND('NFR repository'!$H41=Params!$I$3,IFERROR(FIND(AW$1,'NFR repository'!$U41)&gt;0,FALSE)),'NFR repository'!$I41,0)</f>
        <v>0</v>
      </c>
      <c r="AX41" s="231">
        <f>IF(AND('NFR repository'!$H41=Params!$I$3,Synthesis!$I$8&lt;&gt;Params!$B$17,IFERROR(FIND(AX$1,'NFR repository'!$U41)&gt;0,FALSE)),'NFR repository'!$I41,0)</f>
        <v>0</v>
      </c>
      <c r="AY41" s="231">
        <f>IF(AND('NFR repository'!$H41=Params!$I$3,IFERROR(FIND(AY$1,'NFR repository'!$U41)&gt;0,FALSE)),'NFR repository'!$I41,0)</f>
        <v>0</v>
      </c>
      <c r="AZ41" s="231">
        <f>IF(AND('NFR repository'!$H41=Params!$I$3,IFERROR(FIND(AZ$1,'NFR repository'!$U41)&gt;0,FALSE)),'NFR repository'!$I41,0)</f>
        <v>0</v>
      </c>
      <c r="BA41" s="231">
        <f>IF(AND('NFR repository'!$H41=Params!$I$3,IFERROR(FIND(BA$1,'NFR repository'!$U41)&gt;0,FALSE)),'NFR repository'!$I41,0)</f>
        <v>0</v>
      </c>
      <c r="BB41" s="231">
        <f>IF(AND('NFR repository'!$H41=Params!$I$3,IFERROR(FIND(BB$1,'NFR repository'!$U41)&gt;0,FALSE)),'NFR repository'!$I41,0)</f>
        <v>0</v>
      </c>
      <c r="BC41" s="231">
        <f>IF(AND('NFR repository'!$H41=Params!$I$3,IFERROR(FIND(BC$1,'NFR repository'!$U41)&gt;0,FALSE)),'NFR repository'!$I41,0)</f>
        <v>0</v>
      </c>
      <c r="BD41" s="231">
        <f>IF(AND('NFR repository'!$H41=Params!$I$3,IFERROR(FIND(BD$1,'NFR repository'!$U41)&gt;0,FALSE)),'NFR repository'!$I41,0)</f>
        <v>0</v>
      </c>
      <c r="BE41" s="93">
        <f>IF(AND('NFR repository'!$H41=Params!$I$3,IFERROR(FIND(BE$1,'NFR repository'!$U41)&gt;0,FALSE)),'NFR repository'!$I41,0)</f>
        <v>0</v>
      </c>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row>
    <row r="42" spans="1:84" ht="15.75" x14ac:dyDescent="0.25">
      <c r="A42" s="1"/>
      <c r="B42" s="52" t="s">
        <v>68</v>
      </c>
      <c r="C42" s="39" t="s">
        <v>90</v>
      </c>
      <c r="D42" s="82"/>
      <c r="E42" s="82"/>
      <c r="F42" s="4"/>
      <c r="G42" s="77"/>
      <c r="H42" s="4"/>
      <c r="I42" s="49"/>
      <c r="J42" s="213"/>
      <c r="K42" s="213"/>
      <c r="L42" s="189"/>
      <c r="M42" s="76"/>
      <c r="N42" s="76"/>
      <c r="O42" s="77"/>
      <c r="P42" s="77"/>
      <c r="Q42" s="77"/>
      <c r="R42" s="77"/>
      <c r="S42" s="4"/>
      <c r="T42" s="4"/>
      <c r="U42" s="4"/>
      <c r="V42" s="4"/>
      <c r="W42" s="4"/>
      <c r="X42" s="4"/>
      <c r="Y42" s="4"/>
      <c r="Z42" s="4"/>
      <c r="AA42" s="4"/>
      <c r="AB42" s="4"/>
      <c r="AC42" s="4"/>
      <c r="AD42" s="4"/>
      <c r="AE42" s="4"/>
      <c r="AF42" s="4"/>
      <c r="AG42" s="4"/>
      <c r="AH42" s="4"/>
      <c r="AI42" s="4"/>
      <c r="AJ42" s="4"/>
      <c r="AK42" s="4"/>
      <c r="AL42" s="4"/>
      <c r="AM42" s="4"/>
      <c r="AN42" s="4"/>
      <c r="AO42" s="4"/>
      <c r="AP42" s="4"/>
      <c r="AQ42" s="4"/>
      <c r="AR42" s="2"/>
      <c r="AS42" s="92" t="e">
        <f ca="1">IF(AND('NFR repository'!H42=Params!$I$3,INDIRECT("'NFR repository'!L" &amp; ROW('NFR repository'!A42) &amp; "C" &amp; TEXT(24 + $AS$2,"0"),FALSE)&lt;&gt;""),'NFR repository'!I42,0)</f>
        <v>#REF!</v>
      </c>
      <c r="AT42" s="168" t="e">
        <f ca="1">IF(AND('NFR repository'!H42=Params!$I$3,INDIRECT("'NFR repository'!L" &amp; ROW('NFR repository'!R42) &amp; "C" &amp; TEXT(28 + $AT$2,"0"),FALSE)&lt;&gt;""),'NFR repository'!I42,0)</f>
        <v>#REF!</v>
      </c>
      <c r="AU42" s="168" t="e">
        <f ca="1">IF(AND('NFR repository'!H42=Params!$I$3,INDIRECT("'NFR repository'!L" &amp; ROW('NFR repository'!R42) &amp; "C" &amp; TEXT(32 + $AU$2,"0"),FALSE)&lt;&gt;""),'NFR repository'!I42,0)</f>
        <v>#REF!</v>
      </c>
      <c r="AV42" s="233" t="e">
        <f ca="1">IF(AND('NFR repository'!H42=Params!$I$3,INDIRECT("'NFR repository'!L" &amp; ROW('NFR repository'!R42) &amp; "C" &amp; TEXT(36 + $AV$2,"0"),FALSE)&lt;&gt;""),'NFR repository'!I42,0)</f>
        <v>#REF!</v>
      </c>
      <c r="AW42" s="92">
        <f>IF(AND('NFR repository'!$H42=Params!$I$3,IFERROR(FIND(AW$1,'NFR repository'!$U42)&gt;0,FALSE)),'NFR repository'!$I42,0)</f>
        <v>0</v>
      </c>
      <c r="AX42" s="231">
        <f>IF(AND('NFR repository'!$H42=Params!$I$3,Synthesis!$I$8&lt;&gt;Params!$B$17,IFERROR(FIND(AX$1,'NFR repository'!$U42)&gt;0,FALSE)),'NFR repository'!$I42,0)</f>
        <v>0</v>
      </c>
      <c r="AY42" s="231">
        <f>IF(AND('NFR repository'!$H42=Params!$I$3,IFERROR(FIND(AY$1,'NFR repository'!$U42)&gt;0,FALSE)),'NFR repository'!$I42,0)</f>
        <v>0</v>
      </c>
      <c r="AZ42" s="231">
        <f>IF(AND('NFR repository'!$H42=Params!$I$3,IFERROR(FIND(AZ$1,'NFR repository'!$U42)&gt;0,FALSE)),'NFR repository'!$I42,0)</f>
        <v>0</v>
      </c>
      <c r="BA42" s="231">
        <f>IF(AND('NFR repository'!$H42=Params!$I$3,IFERROR(FIND(BA$1,'NFR repository'!$U42)&gt;0,FALSE)),'NFR repository'!$I42,0)</f>
        <v>0</v>
      </c>
      <c r="BB42" s="231">
        <f>IF(AND('NFR repository'!$H42=Params!$I$3,IFERROR(FIND(BB$1,'NFR repository'!$U42)&gt;0,FALSE)),'NFR repository'!$I42,0)</f>
        <v>0</v>
      </c>
      <c r="BC42" s="231">
        <f>IF(AND('NFR repository'!$H42=Params!$I$3,IFERROR(FIND(BC$1,'NFR repository'!$U42)&gt;0,FALSE)),'NFR repository'!$I42,0)</f>
        <v>0</v>
      </c>
      <c r="BD42" s="231">
        <f>IF(AND('NFR repository'!$H42=Params!$I$3,IFERROR(FIND(BD$1,'NFR repository'!$U42)&gt;0,FALSE)),'NFR repository'!$I42,0)</f>
        <v>0</v>
      </c>
      <c r="BE42" s="93">
        <f>IF(AND('NFR repository'!$H42=Params!$I$3,IFERROR(FIND(BE$1,'NFR repository'!$U42)&gt;0,FALSE)),'NFR repository'!$I42,0)</f>
        <v>0</v>
      </c>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row>
    <row r="43" spans="1:84" ht="30" x14ac:dyDescent="0.25">
      <c r="A43" s="1"/>
      <c r="B43" s="193" t="s">
        <v>215</v>
      </c>
      <c r="C43" s="194" t="s">
        <v>358</v>
      </c>
      <c r="D43" s="202" t="s">
        <v>779</v>
      </c>
      <c r="E43" s="84"/>
      <c r="F43" s="35" t="s">
        <v>133</v>
      </c>
      <c r="G43" s="78" t="s">
        <v>647</v>
      </c>
      <c r="H43" s="35" t="s">
        <v>472</v>
      </c>
      <c r="I43" s="72" t="s">
        <v>41</v>
      </c>
      <c r="J43" s="215"/>
      <c r="K43" s="215"/>
      <c r="L43" s="195"/>
      <c r="M43" s="80" t="s">
        <v>558</v>
      </c>
      <c r="N43" s="80" t="s">
        <v>143</v>
      </c>
      <c r="O43" s="51" t="s">
        <v>573</v>
      </c>
      <c r="P43" s="51" t="s">
        <v>573</v>
      </c>
      <c r="Q43" s="51" t="s">
        <v>46</v>
      </c>
      <c r="R43" s="51" t="s">
        <v>46</v>
      </c>
      <c r="S43" s="35" t="s">
        <v>46</v>
      </c>
      <c r="T43" s="35" t="s">
        <v>46</v>
      </c>
      <c r="U43" s="35" t="s">
        <v>11</v>
      </c>
      <c r="V43" s="35" t="s">
        <v>11</v>
      </c>
      <c r="W43" s="3"/>
      <c r="X43" s="3"/>
      <c r="Y43" s="3"/>
      <c r="Z43" s="3"/>
      <c r="AA43" s="3"/>
      <c r="AB43" s="3"/>
      <c r="AC43" s="3"/>
      <c r="AD43" s="3"/>
      <c r="AE43" s="3" t="s">
        <v>128</v>
      </c>
      <c r="AF43" s="3" t="s">
        <v>128</v>
      </c>
      <c r="AG43" s="3" t="s">
        <v>128</v>
      </c>
      <c r="AH43" s="3" t="s">
        <v>128</v>
      </c>
      <c r="AI43" s="3"/>
      <c r="AJ43" s="3"/>
      <c r="AK43" s="3"/>
      <c r="AL43" s="3"/>
      <c r="AM43" s="3"/>
      <c r="AN43" s="3"/>
      <c r="AO43" s="3"/>
      <c r="AP43" s="3"/>
      <c r="AQ43" s="3"/>
      <c r="AR43" s="2"/>
      <c r="AS43" s="92" t="e">
        <f ca="1">IF(AND('NFR repository'!H43=Params!$I$3,INDIRECT("'NFR repository'!L" &amp; ROW('NFR repository'!A43) &amp; "C" &amp; TEXT(24 + $AS$2,"0"),FALSE)&lt;&gt;""),'NFR repository'!I43,0)</f>
        <v>#REF!</v>
      </c>
      <c r="AT43" s="168" t="e">
        <f ca="1">IF(AND('NFR repository'!H43=Params!$I$3,INDIRECT("'NFR repository'!L" &amp; ROW('NFR repository'!R43) &amp; "C" &amp; TEXT(28 + $AT$2,"0"),FALSE)&lt;&gt;""),'NFR repository'!I43,0)</f>
        <v>#REF!</v>
      </c>
      <c r="AU43" s="168" t="e">
        <f ca="1">IF(AND('NFR repository'!H43=Params!$I$3,INDIRECT("'NFR repository'!L" &amp; ROW('NFR repository'!R43) &amp; "C" &amp; TEXT(32 + $AU$2,"0"),FALSE)&lt;&gt;""),'NFR repository'!I43,0)</f>
        <v>#REF!</v>
      </c>
      <c r="AV43" s="233" t="e">
        <f ca="1">IF(AND('NFR repository'!H43=Params!$I$3,INDIRECT("'NFR repository'!L" &amp; ROW('NFR repository'!R43) &amp; "C" &amp; TEXT(36 + $AV$2,"0"),FALSE)&lt;&gt;""),'NFR repository'!I43,0)</f>
        <v>#REF!</v>
      </c>
      <c r="AW43" s="92">
        <f>IF(AND('NFR repository'!$H43=Params!$I$3,IFERROR(FIND(AW$1,'NFR repository'!$U43)&gt;0,FALSE)),'NFR repository'!$I43,0)</f>
        <v>0</v>
      </c>
      <c r="AX43" s="231">
        <f>IF(AND('NFR repository'!$H43=Params!$I$3,Synthesis!$I$8&lt;&gt;Params!$B$17,IFERROR(FIND(AX$1,'NFR repository'!$U43)&gt;0,FALSE)),'NFR repository'!$I43,0)</f>
        <v>0</v>
      </c>
      <c r="AY43" s="231">
        <f>IF(AND('NFR repository'!$H43=Params!$I$3,IFERROR(FIND(AY$1,'NFR repository'!$U43)&gt;0,FALSE)),'NFR repository'!$I43,0)</f>
        <v>0</v>
      </c>
      <c r="AZ43" s="231">
        <f>IF(AND('NFR repository'!$H43=Params!$I$3,IFERROR(FIND(AZ$1,'NFR repository'!$U43)&gt;0,FALSE)),'NFR repository'!$I43,0)</f>
        <v>0</v>
      </c>
      <c r="BA43" s="231">
        <f>IF(AND('NFR repository'!$H43=Params!$I$3,IFERROR(FIND(BA$1,'NFR repository'!$U43)&gt;0,FALSE)),'NFR repository'!$I43,0)</f>
        <v>0</v>
      </c>
      <c r="BB43" s="231">
        <f>IF(AND('NFR repository'!$H43=Params!$I$3,IFERROR(FIND(BB$1,'NFR repository'!$U43)&gt;0,FALSE)),'NFR repository'!$I43,0)</f>
        <v>0</v>
      </c>
      <c r="BC43" s="231">
        <f>IF(AND('NFR repository'!$H43=Params!$I$3,IFERROR(FIND(BC$1,'NFR repository'!$U43)&gt;0,FALSE)),'NFR repository'!$I43,0)</f>
        <v>0</v>
      </c>
      <c r="BD43" s="231">
        <f>IF(AND('NFR repository'!$H43=Params!$I$3,IFERROR(FIND(BD$1,'NFR repository'!$U43)&gt;0,FALSE)),'NFR repository'!$I43,0)</f>
        <v>0</v>
      </c>
      <c r="BE43" s="93">
        <f>IF(AND('NFR repository'!$H43=Params!$I$3,IFERROR(FIND(BE$1,'NFR repository'!$U43)&gt;0,FALSE)),'NFR repository'!$I43,0)</f>
        <v>0</v>
      </c>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row>
    <row r="44" spans="1:84" ht="45" x14ac:dyDescent="0.25">
      <c r="A44" s="1"/>
      <c r="B44" s="193" t="s">
        <v>216</v>
      </c>
      <c r="C44" s="194" t="s">
        <v>476</v>
      </c>
      <c r="D44" s="202" t="s">
        <v>778</v>
      </c>
      <c r="E44" s="84"/>
      <c r="F44" s="38" t="s">
        <v>133</v>
      </c>
      <c r="G44" s="78" t="s">
        <v>746</v>
      </c>
      <c r="H44" s="35" t="s">
        <v>472</v>
      </c>
      <c r="I44" s="72" t="s">
        <v>41</v>
      </c>
      <c r="J44" s="215"/>
      <c r="K44" s="215"/>
      <c r="L44" s="195"/>
      <c r="M44" s="80" t="s">
        <v>558</v>
      </c>
      <c r="N44" s="79" t="s">
        <v>139</v>
      </c>
      <c r="O44" s="51" t="s">
        <v>573</v>
      </c>
      <c r="P44" s="51" t="s">
        <v>576</v>
      </c>
      <c r="Q44" s="51" t="s">
        <v>156</v>
      </c>
      <c r="R44" s="51" t="s">
        <v>156</v>
      </c>
      <c r="S44" s="3" t="s">
        <v>277</v>
      </c>
      <c r="T44" s="35" t="s">
        <v>46</v>
      </c>
      <c r="U44" s="35" t="s">
        <v>144</v>
      </c>
      <c r="V44" s="35" t="s">
        <v>144</v>
      </c>
      <c r="W44" s="3"/>
      <c r="X44" s="3"/>
      <c r="Y44" s="3"/>
      <c r="Z44" s="3"/>
      <c r="AA44" s="3"/>
      <c r="AB44" s="3"/>
      <c r="AC44" s="3"/>
      <c r="AD44" s="3"/>
      <c r="AE44" s="3"/>
      <c r="AF44" s="3"/>
      <c r="AG44" s="3"/>
      <c r="AH44" s="3"/>
      <c r="AI44" s="3"/>
      <c r="AJ44" s="3"/>
      <c r="AK44" s="3"/>
      <c r="AL44" s="3"/>
      <c r="AM44" s="3"/>
      <c r="AN44" s="3"/>
      <c r="AO44" s="3"/>
      <c r="AP44" s="3"/>
      <c r="AQ44" s="3"/>
      <c r="AR44" s="2"/>
      <c r="AS44" s="92" t="e">
        <f ca="1">IF(AND('NFR repository'!H44=Params!$I$3,INDIRECT("'NFR repository'!L" &amp; ROW('NFR repository'!A44) &amp; "C" &amp; TEXT(24 + $AS$2,"0"),FALSE)&lt;&gt;""),'NFR repository'!I44,0)</f>
        <v>#REF!</v>
      </c>
      <c r="AT44" s="168" t="e">
        <f ca="1">IF(AND('NFR repository'!H44=Params!$I$3,INDIRECT("'NFR repository'!L" &amp; ROW('NFR repository'!R44) &amp; "C" &amp; TEXT(28 + $AT$2,"0"),FALSE)&lt;&gt;""),'NFR repository'!I44,0)</f>
        <v>#REF!</v>
      </c>
      <c r="AU44" s="168" t="e">
        <f ca="1">IF(AND('NFR repository'!H44=Params!$I$3,INDIRECT("'NFR repository'!L" &amp; ROW('NFR repository'!R44) &amp; "C" &amp; TEXT(32 + $AU$2,"0"),FALSE)&lt;&gt;""),'NFR repository'!I44,0)</f>
        <v>#REF!</v>
      </c>
      <c r="AV44" s="233" t="e">
        <f ca="1">IF(AND('NFR repository'!H44=Params!$I$3,INDIRECT("'NFR repository'!L" &amp; ROW('NFR repository'!R44) &amp; "C" &amp; TEXT(36 + $AV$2,"0"),FALSE)&lt;&gt;""),'NFR repository'!I44,0)</f>
        <v>#REF!</v>
      </c>
      <c r="AW44" s="92">
        <f>IF(AND('NFR repository'!$H44=Params!$I$3,IFERROR(FIND(AW$1,'NFR repository'!$U44)&gt;0,FALSE)),'NFR repository'!$I44,0)</f>
        <v>0</v>
      </c>
      <c r="AX44" s="231">
        <f>IF(AND('NFR repository'!$H44=Params!$I$3,Synthesis!$I$8&lt;&gt;Params!$B$17,IFERROR(FIND(AX$1,'NFR repository'!$U44)&gt;0,FALSE)),'NFR repository'!$I44,0)</f>
        <v>0</v>
      </c>
      <c r="AY44" s="231">
        <f>IF(AND('NFR repository'!$H44=Params!$I$3,IFERROR(FIND(AY$1,'NFR repository'!$U44)&gt;0,FALSE)),'NFR repository'!$I44,0)</f>
        <v>0</v>
      </c>
      <c r="AZ44" s="231">
        <f>IF(AND('NFR repository'!$H44=Params!$I$3,IFERROR(FIND(AZ$1,'NFR repository'!$U44)&gt;0,FALSE)),'NFR repository'!$I44,0)</f>
        <v>0</v>
      </c>
      <c r="BA44" s="231">
        <f>IF(AND('NFR repository'!$H44=Params!$I$3,IFERROR(FIND(BA$1,'NFR repository'!$U44)&gt;0,FALSE)),'NFR repository'!$I44,0)</f>
        <v>0</v>
      </c>
      <c r="BB44" s="231">
        <f>IF(AND('NFR repository'!$H44=Params!$I$3,IFERROR(FIND(BB$1,'NFR repository'!$U44)&gt;0,FALSE)),'NFR repository'!$I44,0)</f>
        <v>0</v>
      </c>
      <c r="BC44" s="231">
        <f>IF(AND('NFR repository'!$H44=Params!$I$3,IFERROR(FIND(BC$1,'NFR repository'!$U44)&gt;0,FALSE)),'NFR repository'!$I44,0)</f>
        <v>0</v>
      </c>
      <c r="BD44" s="231">
        <f>IF(AND('NFR repository'!$H44=Params!$I$3,IFERROR(FIND(BD$1,'NFR repository'!$U44)&gt;0,FALSE)),'NFR repository'!$I44,0)</f>
        <v>0</v>
      </c>
      <c r="BE44" s="93">
        <f>IF(AND('NFR repository'!$H44=Params!$I$3,IFERROR(FIND(BE$1,'NFR repository'!$U44)&gt;0,FALSE)),'NFR repository'!$I44,0)</f>
        <v>0</v>
      </c>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row>
    <row r="45" spans="1:84" ht="18.75" x14ac:dyDescent="0.25">
      <c r="A45" s="1"/>
      <c r="B45" s="182">
        <v>4</v>
      </c>
      <c r="C45" s="183" t="s">
        <v>112</v>
      </c>
      <c r="D45" s="184"/>
      <c r="E45" s="184"/>
      <c r="F45" s="185"/>
      <c r="G45" s="197"/>
      <c r="H45" s="185"/>
      <c r="I45" s="186"/>
      <c r="J45" s="212"/>
      <c r="K45" s="212"/>
      <c r="L45" s="187"/>
      <c r="M45" s="198"/>
      <c r="N45" s="198"/>
      <c r="O45" s="197"/>
      <c r="P45" s="197"/>
      <c r="Q45" s="197"/>
      <c r="R45" s="197"/>
      <c r="S45" s="185"/>
      <c r="T45" s="185"/>
      <c r="U45" s="184"/>
      <c r="V45" s="184"/>
      <c r="W45" s="184"/>
      <c r="X45" s="185"/>
      <c r="Y45" s="185"/>
      <c r="Z45" s="185"/>
      <c r="AA45" s="185"/>
      <c r="AB45" s="185"/>
      <c r="AC45" s="185"/>
      <c r="AD45" s="185"/>
      <c r="AE45" s="185"/>
      <c r="AF45" s="185"/>
      <c r="AG45" s="185"/>
      <c r="AH45" s="185"/>
      <c r="AI45" s="185"/>
      <c r="AJ45" s="185"/>
      <c r="AK45" s="185"/>
      <c r="AL45" s="185"/>
      <c r="AM45" s="185"/>
      <c r="AN45" s="185"/>
      <c r="AO45" s="185"/>
      <c r="AP45" s="185"/>
      <c r="AQ45" s="185"/>
      <c r="AR45" s="2"/>
      <c r="AS45" s="92" t="e">
        <f ca="1">IF(AND('NFR repository'!H45=Params!$I$3,INDIRECT("'NFR repository'!L" &amp; ROW('NFR repository'!A45) &amp; "C" &amp; TEXT(24 + $AS$2,"0"),FALSE)&lt;&gt;""),'NFR repository'!I45,0)</f>
        <v>#REF!</v>
      </c>
      <c r="AT45" s="168" t="e">
        <f ca="1">IF(AND('NFR repository'!H45=Params!$I$3,INDIRECT("'NFR repository'!L" &amp; ROW('NFR repository'!R45) &amp; "C" &amp; TEXT(28 + $AT$2,"0"),FALSE)&lt;&gt;""),'NFR repository'!I45,0)</f>
        <v>#REF!</v>
      </c>
      <c r="AU45" s="168" t="e">
        <f ca="1">IF(AND('NFR repository'!H45=Params!$I$3,INDIRECT("'NFR repository'!L" &amp; ROW('NFR repository'!R45) &amp; "C" &amp; TEXT(32 + $AU$2,"0"),FALSE)&lt;&gt;""),'NFR repository'!I45,0)</f>
        <v>#REF!</v>
      </c>
      <c r="AV45" s="233" t="e">
        <f ca="1">IF(AND('NFR repository'!H45=Params!$I$3,INDIRECT("'NFR repository'!L" &amp; ROW('NFR repository'!R45) &amp; "C" &amp; TEXT(36 + $AV$2,"0"),FALSE)&lt;&gt;""),'NFR repository'!I45,0)</f>
        <v>#REF!</v>
      </c>
      <c r="AW45" s="92">
        <f>IF(AND('NFR repository'!$H45=Params!$I$3,IFERROR(FIND(AW$1,'NFR repository'!$U45)&gt;0,FALSE)),'NFR repository'!$I45,0)</f>
        <v>0</v>
      </c>
      <c r="AX45" s="231">
        <f>IF(AND('NFR repository'!$H45=Params!$I$3,Synthesis!$I$8&lt;&gt;Params!$B$17,IFERROR(FIND(AX$1,'NFR repository'!$U45)&gt;0,FALSE)),'NFR repository'!$I45,0)</f>
        <v>0</v>
      </c>
      <c r="AY45" s="231">
        <f>IF(AND('NFR repository'!$H45=Params!$I$3,IFERROR(FIND(AY$1,'NFR repository'!$U45)&gt;0,FALSE)),'NFR repository'!$I45,0)</f>
        <v>0</v>
      </c>
      <c r="AZ45" s="231">
        <f>IF(AND('NFR repository'!$H45=Params!$I$3,IFERROR(FIND(AZ$1,'NFR repository'!$U45)&gt;0,FALSE)),'NFR repository'!$I45,0)</f>
        <v>0</v>
      </c>
      <c r="BA45" s="231">
        <f>IF(AND('NFR repository'!$H45=Params!$I$3,IFERROR(FIND(BA$1,'NFR repository'!$U45)&gt;0,FALSE)),'NFR repository'!$I45,0)</f>
        <v>0</v>
      </c>
      <c r="BB45" s="231">
        <f>IF(AND('NFR repository'!$H45=Params!$I$3,IFERROR(FIND(BB$1,'NFR repository'!$U45)&gt;0,FALSE)),'NFR repository'!$I45,0)</f>
        <v>0</v>
      </c>
      <c r="BC45" s="231">
        <f>IF(AND('NFR repository'!$H45=Params!$I$3,IFERROR(FIND(BC$1,'NFR repository'!$U45)&gt;0,FALSE)),'NFR repository'!$I45,0)</f>
        <v>0</v>
      </c>
      <c r="BD45" s="231">
        <f>IF(AND('NFR repository'!$H45=Params!$I$3,IFERROR(FIND(BD$1,'NFR repository'!$U45)&gt;0,FALSE)),'NFR repository'!$I45,0)</f>
        <v>0</v>
      </c>
      <c r="BE45" s="93">
        <f>IF(AND('NFR repository'!$H45=Params!$I$3,IFERROR(FIND(BE$1,'NFR repository'!$U45)&gt;0,FALSE)),'NFR repository'!$I45,0)</f>
        <v>0</v>
      </c>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row>
    <row r="46" spans="1:84" ht="15.75" x14ac:dyDescent="0.25">
      <c r="A46" s="1"/>
      <c r="B46" s="52" t="s">
        <v>71</v>
      </c>
      <c r="C46" s="39" t="s">
        <v>70</v>
      </c>
      <c r="D46" s="82"/>
      <c r="E46" s="82"/>
      <c r="F46" s="4"/>
      <c r="G46" s="77"/>
      <c r="H46" s="4"/>
      <c r="I46" s="49"/>
      <c r="J46" s="213"/>
      <c r="K46" s="213"/>
      <c r="L46" s="189"/>
      <c r="M46" s="76"/>
      <c r="N46" s="76"/>
      <c r="O46" s="77"/>
      <c r="P46" s="77"/>
      <c r="Q46" s="77"/>
      <c r="R46" s="77"/>
      <c r="S46" s="4"/>
      <c r="T46" s="4"/>
      <c r="U46" s="4"/>
      <c r="V46" s="4"/>
      <c r="W46" s="4"/>
      <c r="X46" s="4"/>
      <c r="Y46" s="4"/>
      <c r="Z46" s="4"/>
      <c r="AA46" s="4"/>
      <c r="AB46" s="4"/>
      <c r="AC46" s="4"/>
      <c r="AD46" s="4"/>
      <c r="AE46" s="4"/>
      <c r="AF46" s="4"/>
      <c r="AG46" s="4"/>
      <c r="AH46" s="4"/>
      <c r="AI46" s="4"/>
      <c r="AJ46" s="4"/>
      <c r="AK46" s="4"/>
      <c r="AL46" s="4"/>
      <c r="AM46" s="4"/>
      <c r="AN46" s="4"/>
      <c r="AO46" s="4"/>
      <c r="AP46" s="4"/>
      <c r="AQ46" s="4"/>
      <c r="AR46" s="2"/>
      <c r="AS46" s="92" t="e">
        <f ca="1">IF(AND('NFR repository'!H46=Params!$I$3,INDIRECT("'NFR repository'!L" &amp; ROW('NFR repository'!A46) &amp; "C" &amp; TEXT(24 + $AS$2,"0"),FALSE)&lt;&gt;""),'NFR repository'!I46,0)</f>
        <v>#REF!</v>
      </c>
      <c r="AT46" s="168" t="e">
        <f ca="1">IF(AND('NFR repository'!H46=Params!$I$3,INDIRECT("'NFR repository'!L" &amp; ROW('NFR repository'!R46) &amp; "C" &amp; TEXT(28 + $AT$2,"0"),FALSE)&lt;&gt;""),'NFR repository'!I46,0)</f>
        <v>#REF!</v>
      </c>
      <c r="AU46" s="168" t="e">
        <f ca="1">IF(AND('NFR repository'!H46=Params!$I$3,INDIRECT("'NFR repository'!L" &amp; ROW('NFR repository'!R46) &amp; "C" &amp; TEXT(32 + $AU$2,"0"),FALSE)&lt;&gt;""),'NFR repository'!I46,0)</f>
        <v>#REF!</v>
      </c>
      <c r="AV46" s="233" t="e">
        <f ca="1">IF(AND('NFR repository'!H46=Params!$I$3,INDIRECT("'NFR repository'!L" &amp; ROW('NFR repository'!R46) &amp; "C" &amp; TEXT(36 + $AV$2,"0"),FALSE)&lt;&gt;""),'NFR repository'!I46,0)</f>
        <v>#REF!</v>
      </c>
      <c r="AW46" s="92">
        <f>IF(AND('NFR repository'!$H46=Params!$I$3,IFERROR(FIND(AW$1,'NFR repository'!$U46)&gt;0,FALSE)),'NFR repository'!$I46,0)</f>
        <v>0</v>
      </c>
      <c r="AX46" s="231">
        <f>IF(AND('NFR repository'!$H46=Params!$I$3,Synthesis!$I$8&lt;&gt;Params!$B$17,IFERROR(FIND(AX$1,'NFR repository'!$U46)&gt;0,FALSE)),'NFR repository'!$I46,0)</f>
        <v>0</v>
      </c>
      <c r="AY46" s="231">
        <f>IF(AND('NFR repository'!$H46=Params!$I$3,IFERROR(FIND(AY$1,'NFR repository'!$U46)&gt;0,FALSE)),'NFR repository'!$I46,0)</f>
        <v>0</v>
      </c>
      <c r="AZ46" s="231">
        <f>IF(AND('NFR repository'!$H46=Params!$I$3,IFERROR(FIND(AZ$1,'NFR repository'!$U46)&gt;0,FALSE)),'NFR repository'!$I46,0)</f>
        <v>0</v>
      </c>
      <c r="BA46" s="231">
        <f>IF(AND('NFR repository'!$H46=Params!$I$3,IFERROR(FIND(BA$1,'NFR repository'!$U46)&gt;0,FALSE)),'NFR repository'!$I46,0)</f>
        <v>0</v>
      </c>
      <c r="BB46" s="231">
        <f>IF(AND('NFR repository'!$H46=Params!$I$3,IFERROR(FIND(BB$1,'NFR repository'!$U46)&gt;0,FALSE)),'NFR repository'!$I46,0)</f>
        <v>0</v>
      </c>
      <c r="BC46" s="231">
        <f>IF(AND('NFR repository'!$H46=Params!$I$3,IFERROR(FIND(BC$1,'NFR repository'!$U46)&gt;0,FALSE)),'NFR repository'!$I46,0)</f>
        <v>0</v>
      </c>
      <c r="BD46" s="231">
        <f>IF(AND('NFR repository'!$H46=Params!$I$3,IFERROR(FIND(BD$1,'NFR repository'!$U46)&gt;0,FALSE)),'NFR repository'!$I46,0)</f>
        <v>0</v>
      </c>
      <c r="BE46" s="93">
        <f>IF(AND('NFR repository'!$H46=Params!$I$3,IFERROR(FIND(BE$1,'NFR repository'!$U46)&gt;0,FALSE)),'NFR repository'!$I46,0)</f>
        <v>0</v>
      </c>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row>
    <row r="47" spans="1:84" ht="60" x14ac:dyDescent="0.25">
      <c r="A47" s="2"/>
      <c r="B47" s="190" t="s">
        <v>636</v>
      </c>
      <c r="C47" s="191" t="s">
        <v>643</v>
      </c>
      <c r="D47" s="170" t="s">
        <v>777</v>
      </c>
      <c r="E47" s="170" t="s">
        <v>836</v>
      </c>
      <c r="F47" s="169" t="s">
        <v>618</v>
      </c>
      <c r="G47" s="75" t="s">
        <v>742</v>
      </c>
      <c r="H47" s="35" t="s">
        <v>472</v>
      </c>
      <c r="I47" s="72" t="s">
        <v>41</v>
      </c>
      <c r="J47" s="214"/>
      <c r="K47" s="214"/>
      <c r="L47" s="192"/>
      <c r="M47" s="79" t="s">
        <v>558</v>
      </c>
      <c r="N47" s="79" t="s">
        <v>148</v>
      </c>
      <c r="O47" s="75" t="s">
        <v>574</v>
      </c>
      <c r="P47" s="75" t="s">
        <v>577</v>
      </c>
      <c r="Q47" s="75" t="s">
        <v>46</v>
      </c>
      <c r="R47" s="75" t="s">
        <v>46</v>
      </c>
      <c r="S47" s="169" t="s">
        <v>46</v>
      </c>
      <c r="T47" s="169" t="s">
        <v>46</v>
      </c>
      <c r="U47" s="169" t="s">
        <v>146</v>
      </c>
      <c r="V47" s="169" t="s">
        <v>146</v>
      </c>
      <c r="W47" s="73"/>
      <c r="X47" s="73"/>
      <c r="Y47" s="73"/>
      <c r="Z47" s="73"/>
      <c r="AA47" s="73"/>
      <c r="AB47" s="73"/>
      <c r="AC47" s="73"/>
      <c r="AD47" s="73"/>
      <c r="AE47" s="73"/>
      <c r="AF47" s="73"/>
      <c r="AG47" s="73"/>
      <c r="AH47" s="73"/>
      <c r="AI47" s="73"/>
      <c r="AJ47" s="73"/>
      <c r="AK47" s="73"/>
      <c r="AL47" s="73"/>
      <c r="AM47" s="73"/>
      <c r="AN47" s="73"/>
      <c r="AO47" s="73"/>
      <c r="AP47" s="73"/>
      <c r="AQ47" s="73"/>
      <c r="AR47" s="2"/>
      <c r="AS47" s="92" t="e">
        <f ca="1">IF(AND('NFR repository'!H47=Params!$I$3,INDIRECT("'NFR repository'!L" &amp; ROW('NFR repository'!A47) &amp; "C" &amp; TEXT(24 + $AS$2,"0"),FALSE)&lt;&gt;""),'NFR repository'!I47,0)</f>
        <v>#REF!</v>
      </c>
      <c r="AT47" s="168" t="e">
        <f ca="1">IF(AND('NFR repository'!H47=Params!$I$3,INDIRECT("'NFR repository'!L" &amp; ROW('NFR repository'!R47) &amp; "C" &amp; TEXT(28 + $AT$2,"0"),FALSE)&lt;&gt;""),'NFR repository'!I47,0)</f>
        <v>#REF!</v>
      </c>
      <c r="AU47" s="168" t="e">
        <f ca="1">IF(AND('NFR repository'!H47=Params!$I$3,INDIRECT("'NFR repository'!L" &amp; ROW('NFR repository'!R47) &amp; "C" &amp; TEXT(32 + $AU$2,"0"),FALSE)&lt;&gt;""),'NFR repository'!I47,0)</f>
        <v>#REF!</v>
      </c>
      <c r="AV47" s="233" t="e">
        <f ca="1">IF(AND('NFR repository'!H47=Params!$I$3,INDIRECT("'NFR repository'!L" &amp; ROW('NFR repository'!R47) &amp; "C" &amp; TEXT(36 + $AV$2,"0"),FALSE)&lt;&gt;""),'NFR repository'!I47,0)</f>
        <v>#REF!</v>
      </c>
      <c r="AW47" s="92">
        <f>IF(AND('NFR repository'!$H47=Params!$I$3,IFERROR(FIND(AW$1,'NFR repository'!$U47)&gt;0,FALSE)),'NFR repository'!$I47,0)</f>
        <v>0</v>
      </c>
      <c r="AX47" s="231">
        <f>IF(AND('NFR repository'!$H47=Params!$I$3,Synthesis!$I$8&lt;&gt;Params!$B$17,IFERROR(FIND(AX$1,'NFR repository'!$U47)&gt;0,FALSE)),'NFR repository'!$I47,0)</f>
        <v>0</v>
      </c>
      <c r="AY47" s="231">
        <f>IF(AND('NFR repository'!$H47=Params!$I$3,IFERROR(FIND(AY$1,'NFR repository'!$U47)&gt;0,FALSE)),'NFR repository'!$I47,0)</f>
        <v>0</v>
      </c>
      <c r="AZ47" s="231">
        <f>IF(AND('NFR repository'!$H47=Params!$I$3,IFERROR(FIND(AZ$1,'NFR repository'!$U47)&gt;0,FALSE)),'NFR repository'!$I47,0)</f>
        <v>0</v>
      </c>
      <c r="BA47" s="231">
        <f>IF(AND('NFR repository'!$H47=Params!$I$3,IFERROR(FIND(BA$1,'NFR repository'!$U47)&gt;0,FALSE)),'NFR repository'!$I47,0)</f>
        <v>0</v>
      </c>
      <c r="BB47" s="231">
        <f>IF(AND('NFR repository'!$H47=Params!$I$3,IFERROR(FIND(BB$1,'NFR repository'!$U47)&gt;0,FALSE)),'NFR repository'!$I47,0)</f>
        <v>0</v>
      </c>
      <c r="BC47" s="231">
        <f>IF(AND('NFR repository'!$H47=Params!$I$3,IFERROR(FIND(BC$1,'NFR repository'!$U47)&gt;0,FALSE)),'NFR repository'!$I47,0)</f>
        <v>0</v>
      </c>
      <c r="BD47" s="231">
        <f>IF(AND('NFR repository'!$H47=Params!$I$3,IFERROR(FIND(BD$1,'NFR repository'!$U47)&gt;0,FALSE)),'NFR repository'!$I47,0)</f>
        <v>0</v>
      </c>
      <c r="BE47" s="93">
        <f>IF(AND('NFR repository'!$H47=Params!$I$3,IFERROR(FIND(BE$1,'NFR repository'!$U47)&gt;0,FALSE)),'NFR repository'!$I47,0)</f>
        <v>0</v>
      </c>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row>
    <row r="48" spans="1:84" ht="15.75" x14ac:dyDescent="0.25">
      <c r="A48" s="1"/>
      <c r="B48" s="52" t="s">
        <v>72</v>
      </c>
      <c r="C48" s="39" t="s">
        <v>73</v>
      </c>
      <c r="D48" s="82"/>
      <c r="E48" s="82"/>
      <c r="F48" s="4"/>
      <c r="G48" s="77"/>
      <c r="H48" s="4"/>
      <c r="I48" s="49"/>
      <c r="J48" s="213"/>
      <c r="K48" s="213"/>
      <c r="L48" s="189"/>
      <c r="M48" s="76"/>
      <c r="N48" s="76"/>
      <c r="O48" s="77"/>
      <c r="P48" s="77"/>
      <c r="Q48" s="77"/>
      <c r="R48" s="77"/>
      <c r="S48" s="4"/>
      <c r="T48" s="4"/>
      <c r="U48" s="4"/>
      <c r="V48" s="4"/>
      <c r="W48" s="4"/>
      <c r="X48" s="4"/>
      <c r="Y48" s="4"/>
      <c r="Z48" s="4"/>
      <c r="AA48" s="4"/>
      <c r="AB48" s="4"/>
      <c r="AC48" s="4"/>
      <c r="AD48" s="4"/>
      <c r="AE48" s="4"/>
      <c r="AF48" s="4"/>
      <c r="AG48" s="4"/>
      <c r="AH48" s="4"/>
      <c r="AI48" s="4"/>
      <c r="AJ48" s="4"/>
      <c r="AK48" s="4"/>
      <c r="AL48" s="4"/>
      <c r="AM48" s="4"/>
      <c r="AN48" s="4"/>
      <c r="AO48" s="4"/>
      <c r="AP48" s="4"/>
      <c r="AQ48" s="4"/>
      <c r="AR48" s="2"/>
      <c r="AS48" s="92" t="e">
        <f ca="1">IF(AND('NFR repository'!H48=Params!$I$3,INDIRECT("'NFR repository'!L" &amp; ROW('NFR repository'!A48) &amp; "C" &amp; TEXT(24 + $AS$2,"0"),FALSE)&lt;&gt;""),'NFR repository'!I48,0)</f>
        <v>#REF!</v>
      </c>
      <c r="AT48" s="168" t="e">
        <f ca="1">IF(AND('NFR repository'!H48=Params!$I$3,INDIRECT("'NFR repository'!L" &amp; ROW('NFR repository'!R48) &amp; "C" &amp; TEXT(28 + $AT$2,"0"),FALSE)&lt;&gt;""),'NFR repository'!I48,0)</f>
        <v>#REF!</v>
      </c>
      <c r="AU48" s="168" t="e">
        <f ca="1">IF(AND('NFR repository'!H48=Params!$I$3,INDIRECT("'NFR repository'!L" &amp; ROW('NFR repository'!R48) &amp; "C" &amp; TEXT(32 + $AU$2,"0"),FALSE)&lt;&gt;""),'NFR repository'!I48,0)</f>
        <v>#REF!</v>
      </c>
      <c r="AV48" s="233" t="e">
        <f ca="1">IF(AND('NFR repository'!H48=Params!$I$3,INDIRECT("'NFR repository'!L" &amp; ROW('NFR repository'!R48) &amp; "C" &amp; TEXT(36 + $AV$2,"0"),FALSE)&lt;&gt;""),'NFR repository'!I48,0)</f>
        <v>#REF!</v>
      </c>
      <c r="AW48" s="92">
        <f>IF(AND('NFR repository'!$H48=Params!$I$3,IFERROR(FIND(AW$1,'NFR repository'!$U48)&gt;0,FALSE)),'NFR repository'!$I48,0)</f>
        <v>0</v>
      </c>
      <c r="AX48" s="231">
        <f>IF(AND('NFR repository'!$H48=Params!$I$3,Synthesis!$I$8&lt;&gt;Params!$B$17,IFERROR(FIND(AX$1,'NFR repository'!$U48)&gt;0,FALSE)),'NFR repository'!$I48,0)</f>
        <v>0</v>
      </c>
      <c r="AY48" s="231">
        <f>IF(AND('NFR repository'!$H48=Params!$I$3,IFERROR(FIND(AY$1,'NFR repository'!$U48)&gt;0,FALSE)),'NFR repository'!$I48,0)</f>
        <v>0</v>
      </c>
      <c r="AZ48" s="231">
        <f>IF(AND('NFR repository'!$H48=Params!$I$3,IFERROR(FIND(AZ$1,'NFR repository'!$U48)&gt;0,FALSE)),'NFR repository'!$I48,0)</f>
        <v>0</v>
      </c>
      <c r="BA48" s="231">
        <f>IF(AND('NFR repository'!$H48=Params!$I$3,IFERROR(FIND(BA$1,'NFR repository'!$U48)&gt;0,FALSE)),'NFR repository'!$I48,0)</f>
        <v>0</v>
      </c>
      <c r="BB48" s="231">
        <f>IF(AND('NFR repository'!$H48=Params!$I$3,IFERROR(FIND(BB$1,'NFR repository'!$U48)&gt;0,FALSE)),'NFR repository'!$I48,0)</f>
        <v>0</v>
      </c>
      <c r="BC48" s="231">
        <f>IF(AND('NFR repository'!$H48=Params!$I$3,IFERROR(FIND(BC$1,'NFR repository'!$U48)&gt;0,FALSE)),'NFR repository'!$I48,0)</f>
        <v>0</v>
      </c>
      <c r="BD48" s="231">
        <f>IF(AND('NFR repository'!$H48=Params!$I$3,IFERROR(FIND(BD$1,'NFR repository'!$U48)&gt;0,FALSE)),'NFR repository'!$I48,0)</f>
        <v>0</v>
      </c>
      <c r="BE48" s="93">
        <f>IF(AND('NFR repository'!$H48=Params!$I$3,IFERROR(FIND(BE$1,'NFR repository'!$U48)&gt;0,FALSE)),'NFR repository'!$I48,0)</f>
        <v>0</v>
      </c>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row>
    <row r="49" spans="1:84" ht="15.75" x14ac:dyDescent="0.25">
      <c r="A49" s="1"/>
      <c r="B49" s="52" t="s">
        <v>74</v>
      </c>
      <c r="C49" s="39" t="s">
        <v>65</v>
      </c>
      <c r="D49" s="82"/>
      <c r="E49" s="82"/>
      <c r="F49" s="4"/>
      <c r="G49" s="77"/>
      <c r="H49" s="4"/>
      <c r="I49" s="49"/>
      <c r="J49" s="213"/>
      <c r="K49" s="213"/>
      <c r="L49" s="189"/>
      <c r="M49" s="76"/>
      <c r="N49" s="76"/>
      <c r="O49" s="77"/>
      <c r="P49" s="77"/>
      <c r="Q49" s="77"/>
      <c r="R49" s="77"/>
      <c r="S49" s="4"/>
      <c r="T49" s="4"/>
      <c r="U49" s="4"/>
      <c r="V49" s="4"/>
      <c r="W49" s="4"/>
      <c r="X49" s="4"/>
      <c r="Y49" s="4"/>
      <c r="Z49" s="4"/>
      <c r="AA49" s="4"/>
      <c r="AB49" s="4"/>
      <c r="AC49" s="4"/>
      <c r="AD49" s="4"/>
      <c r="AE49" s="4"/>
      <c r="AF49" s="4"/>
      <c r="AG49" s="4"/>
      <c r="AH49" s="4"/>
      <c r="AI49" s="4"/>
      <c r="AJ49" s="4"/>
      <c r="AK49" s="4"/>
      <c r="AL49" s="4"/>
      <c r="AM49" s="4"/>
      <c r="AN49" s="4"/>
      <c r="AO49" s="4"/>
      <c r="AP49" s="4"/>
      <c r="AQ49" s="4"/>
      <c r="AR49" s="2"/>
      <c r="AS49" s="92" t="e">
        <f ca="1">IF(AND('NFR repository'!H49=Params!$I$3,INDIRECT("'NFR repository'!L" &amp; ROW('NFR repository'!A49) &amp; "C" &amp; TEXT(24 + $AS$2,"0"),FALSE)&lt;&gt;""),'NFR repository'!I49,0)</f>
        <v>#REF!</v>
      </c>
      <c r="AT49" s="168" t="e">
        <f ca="1">IF(AND('NFR repository'!H49=Params!$I$3,INDIRECT("'NFR repository'!L" &amp; ROW('NFR repository'!R49) &amp; "C" &amp; TEXT(28 + $AT$2,"0"),FALSE)&lt;&gt;""),'NFR repository'!I49,0)</f>
        <v>#REF!</v>
      </c>
      <c r="AU49" s="168" t="e">
        <f ca="1">IF(AND('NFR repository'!H49=Params!$I$3,INDIRECT("'NFR repository'!L" &amp; ROW('NFR repository'!R49) &amp; "C" &amp; TEXT(32 + $AU$2,"0"),FALSE)&lt;&gt;""),'NFR repository'!I49,0)</f>
        <v>#REF!</v>
      </c>
      <c r="AV49" s="233" t="e">
        <f ca="1">IF(AND('NFR repository'!H49=Params!$I$3,INDIRECT("'NFR repository'!L" &amp; ROW('NFR repository'!R49) &amp; "C" &amp; TEXT(36 + $AV$2,"0"),FALSE)&lt;&gt;""),'NFR repository'!I49,0)</f>
        <v>#REF!</v>
      </c>
      <c r="AW49" s="92">
        <f>IF(AND('NFR repository'!$H49=Params!$I$3,IFERROR(FIND(AW$1,'NFR repository'!$U49)&gt;0,FALSE)),'NFR repository'!$I49,0)</f>
        <v>0</v>
      </c>
      <c r="AX49" s="231">
        <f>IF(AND('NFR repository'!$H49=Params!$I$3,Synthesis!$I$8&lt;&gt;Params!$B$17,IFERROR(FIND(AX$1,'NFR repository'!$U49)&gt;0,FALSE)),'NFR repository'!$I49,0)</f>
        <v>0</v>
      </c>
      <c r="AY49" s="231">
        <f>IF(AND('NFR repository'!$H49=Params!$I$3,IFERROR(FIND(AY$1,'NFR repository'!$U49)&gt;0,FALSE)),'NFR repository'!$I49,0)</f>
        <v>0</v>
      </c>
      <c r="AZ49" s="231">
        <f>IF(AND('NFR repository'!$H49=Params!$I$3,IFERROR(FIND(AZ$1,'NFR repository'!$U49)&gt;0,FALSE)),'NFR repository'!$I49,0)</f>
        <v>0</v>
      </c>
      <c r="BA49" s="231">
        <f>IF(AND('NFR repository'!$H49=Params!$I$3,IFERROR(FIND(BA$1,'NFR repository'!$U49)&gt;0,FALSE)),'NFR repository'!$I49,0)</f>
        <v>0</v>
      </c>
      <c r="BB49" s="231">
        <f>IF(AND('NFR repository'!$H49=Params!$I$3,IFERROR(FIND(BB$1,'NFR repository'!$U49)&gt;0,FALSE)),'NFR repository'!$I49,0)</f>
        <v>0</v>
      </c>
      <c r="BC49" s="231">
        <f>IF(AND('NFR repository'!$H49=Params!$I$3,IFERROR(FIND(BC$1,'NFR repository'!$U49)&gt;0,FALSE)),'NFR repository'!$I49,0)</f>
        <v>0</v>
      </c>
      <c r="BD49" s="231">
        <f>IF(AND('NFR repository'!$H49=Params!$I$3,IFERROR(FIND(BD$1,'NFR repository'!$U49)&gt;0,FALSE)),'NFR repository'!$I49,0)</f>
        <v>0</v>
      </c>
      <c r="BE49" s="93">
        <f>IF(AND('NFR repository'!$H49=Params!$I$3,IFERROR(FIND(BE$1,'NFR repository'!$U49)&gt;0,FALSE)),'NFR repository'!$I49,0)</f>
        <v>0</v>
      </c>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row>
    <row r="50" spans="1:84" ht="15.75" x14ac:dyDescent="0.25">
      <c r="A50" s="1"/>
      <c r="B50" s="52" t="s">
        <v>75</v>
      </c>
      <c r="C50" s="39" t="s">
        <v>113</v>
      </c>
      <c r="D50" s="82"/>
      <c r="E50" s="82"/>
      <c r="F50" s="4"/>
      <c r="G50" s="77"/>
      <c r="H50" s="4"/>
      <c r="I50" s="49"/>
      <c r="J50" s="213"/>
      <c r="K50" s="213"/>
      <c r="L50" s="189"/>
      <c r="M50" s="76"/>
      <c r="N50" s="76"/>
      <c r="O50" s="77"/>
      <c r="P50" s="77"/>
      <c r="Q50" s="77"/>
      <c r="R50" s="77"/>
      <c r="S50" s="4"/>
      <c r="T50" s="4"/>
      <c r="U50" s="4"/>
      <c r="V50" s="4"/>
      <c r="W50" s="4"/>
      <c r="X50" s="4"/>
      <c r="Y50" s="4"/>
      <c r="Z50" s="4"/>
      <c r="AA50" s="4"/>
      <c r="AB50" s="4"/>
      <c r="AC50" s="4"/>
      <c r="AD50" s="4"/>
      <c r="AE50" s="4"/>
      <c r="AF50" s="4"/>
      <c r="AG50" s="4"/>
      <c r="AH50" s="4"/>
      <c r="AI50" s="4"/>
      <c r="AJ50" s="4"/>
      <c r="AK50" s="4"/>
      <c r="AL50" s="4"/>
      <c r="AM50" s="4"/>
      <c r="AN50" s="4"/>
      <c r="AO50" s="4"/>
      <c r="AP50" s="4"/>
      <c r="AQ50" s="4"/>
      <c r="AR50" s="2"/>
      <c r="AS50" s="92" t="e">
        <f ca="1">IF(AND('NFR repository'!H50=Params!$I$3,INDIRECT("'NFR repository'!L" &amp; ROW('NFR repository'!A50) &amp; "C" &amp; TEXT(24 + $AS$2,"0"),FALSE)&lt;&gt;""),'NFR repository'!I50,0)</f>
        <v>#REF!</v>
      </c>
      <c r="AT50" s="168" t="e">
        <f ca="1">IF(AND('NFR repository'!H50=Params!$I$3,INDIRECT("'NFR repository'!L" &amp; ROW('NFR repository'!R50) &amp; "C" &amp; TEXT(28 + $AT$2,"0"),FALSE)&lt;&gt;""),'NFR repository'!I50,0)</f>
        <v>#REF!</v>
      </c>
      <c r="AU50" s="168" t="e">
        <f ca="1">IF(AND('NFR repository'!H50=Params!$I$3,INDIRECT("'NFR repository'!L" &amp; ROW('NFR repository'!R50) &amp; "C" &amp; TEXT(32 + $AU$2,"0"),FALSE)&lt;&gt;""),'NFR repository'!I50,0)</f>
        <v>#REF!</v>
      </c>
      <c r="AV50" s="233" t="e">
        <f ca="1">IF(AND('NFR repository'!H50=Params!$I$3,INDIRECT("'NFR repository'!L" &amp; ROW('NFR repository'!R50) &amp; "C" &amp; TEXT(36 + $AV$2,"0"),FALSE)&lt;&gt;""),'NFR repository'!I50,0)</f>
        <v>#REF!</v>
      </c>
      <c r="AW50" s="92">
        <f>IF(AND('NFR repository'!$H50=Params!$I$3,IFERROR(FIND(AW$1,'NFR repository'!$U50)&gt;0,FALSE)),'NFR repository'!$I50,0)</f>
        <v>0</v>
      </c>
      <c r="AX50" s="231">
        <f>IF(AND('NFR repository'!$H50=Params!$I$3,Synthesis!$I$8&lt;&gt;Params!$B$17,IFERROR(FIND(AX$1,'NFR repository'!$U50)&gt;0,FALSE)),'NFR repository'!$I50,0)</f>
        <v>0</v>
      </c>
      <c r="AY50" s="231">
        <f>IF(AND('NFR repository'!$H50=Params!$I$3,IFERROR(FIND(AY$1,'NFR repository'!$U50)&gt;0,FALSE)),'NFR repository'!$I50,0)</f>
        <v>0</v>
      </c>
      <c r="AZ50" s="231">
        <f>IF(AND('NFR repository'!$H50=Params!$I$3,IFERROR(FIND(AZ$1,'NFR repository'!$U50)&gt;0,FALSE)),'NFR repository'!$I50,0)</f>
        <v>0</v>
      </c>
      <c r="BA50" s="231">
        <f>IF(AND('NFR repository'!$H50=Params!$I$3,IFERROR(FIND(BA$1,'NFR repository'!$U50)&gt;0,FALSE)),'NFR repository'!$I50,0)</f>
        <v>0</v>
      </c>
      <c r="BB50" s="231">
        <f>IF(AND('NFR repository'!$H50=Params!$I$3,IFERROR(FIND(BB$1,'NFR repository'!$U50)&gt;0,FALSE)),'NFR repository'!$I50,0)</f>
        <v>0</v>
      </c>
      <c r="BC50" s="231">
        <f>IF(AND('NFR repository'!$H50=Params!$I$3,IFERROR(FIND(BC$1,'NFR repository'!$U50)&gt;0,FALSE)),'NFR repository'!$I50,0)</f>
        <v>0</v>
      </c>
      <c r="BD50" s="231">
        <f>IF(AND('NFR repository'!$H50=Params!$I$3,IFERROR(FIND(BD$1,'NFR repository'!$U50)&gt;0,FALSE)),'NFR repository'!$I50,0)</f>
        <v>0</v>
      </c>
      <c r="BE50" s="93">
        <f>IF(AND('NFR repository'!$H50=Params!$I$3,IFERROR(FIND(BE$1,'NFR repository'!$U50)&gt;0,FALSE)),'NFR repository'!$I50,0)</f>
        <v>0</v>
      </c>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row>
    <row r="51" spans="1:84" ht="15.75" x14ac:dyDescent="0.25">
      <c r="A51" s="1"/>
      <c r="B51" s="52" t="s">
        <v>76</v>
      </c>
      <c r="C51" s="39" t="s">
        <v>114</v>
      </c>
      <c r="D51" s="82"/>
      <c r="E51" s="82"/>
      <c r="F51" s="4"/>
      <c r="G51" s="77"/>
      <c r="H51" s="4"/>
      <c r="I51" s="49"/>
      <c r="J51" s="213"/>
      <c r="K51" s="213"/>
      <c r="L51" s="189"/>
      <c r="M51" s="76"/>
      <c r="N51" s="76"/>
      <c r="O51" s="77"/>
      <c r="P51" s="77"/>
      <c r="Q51" s="77"/>
      <c r="R51" s="77"/>
      <c r="S51" s="4"/>
      <c r="T51" s="4"/>
      <c r="U51" s="4"/>
      <c r="V51" s="4"/>
      <c r="W51" s="4"/>
      <c r="X51" s="4"/>
      <c r="Y51" s="4"/>
      <c r="Z51" s="4"/>
      <c r="AA51" s="4"/>
      <c r="AB51" s="4"/>
      <c r="AC51" s="4"/>
      <c r="AD51" s="4"/>
      <c r="AE51" s="4"/>
      <c r="AF51" s="4"/>
      <c r="AG51" s="4"/>
      <c r="AH51" s="4"/>
      <c r="AI51" s="4"/>
      <c r="AJ51" s="4"/>
      <c r="AK51" s="4"/>
      <c r="AL51" s="4"/>
      <c r="AM51" s="4"/>
      <c r="AN51" s="4"/>
      <c r="AO51" s="4"/>
      <c r="AP51" s="4"/>
      <c r="AQ51" s="4"/>
      <c r="AR51" s="2"/>
      <c r="AS51" s="92" t="e">
        <f ca="1">IF(AND('NFR repository'!H51=Params!$I$3,INDIRECT("'NFR repository'!L" &amp; ROW('NFR repository'!A51) &amp; "C" &amp; TEXT(24 + $AS$2,"0"),FALSE)&lt;&gt;""),'NFR repository'!I51,0)</f>
        <v>#REF!</v>
      </c>
      <c r="AT51" s="168" t="e">
        <f ca="1">IF(AND('NFR repository'!H51=Params!$I$3,INDIRECT("'NFR repository'!L" &amp; ROW('NFR repository'!R51) &amp; "C" &amp; TEXT(28 + $AT$2,"0"),FALSE)&lt;&gt;""),'NFR repository'!I51,0)</f>
        <v>#REF!</v>
      </c>
      <c r="AU51" s="168" t="e">
        <f ca="1">IF(AND('NFR repository'!H51=Params!$I$3,INDIRECT("'NFR repository'!L" &amp; ROW('NFR repository'!R51) &amp; "C" &amp; TEXT(32 + $AU$2,"0"),FALSE)&lt;&gt;""),'NFR repository'!I51,0)</f>
        <v>#REF!</v>
      </c>
      <c r="AV51" s="233" t="e">
        <f ca="1">IF(AND('NFR repository'!H51=Params!$I$3,INDIRECT("'NFR repository'!L" &amp; ROW('NFR repository'!R51) &amp; "C" &amp; TEXT(36 + $AV$2,"0"),FALSE)&lt;&gt;""),'NFR repository'!I51,0)</f>
        <v>#REF!</v>
      </c>
      <c r="AW51" s="92">
        <f>IF(AND('NFR repository'!$H51=Params!$I$3,IFERROR(FIND(AW$1,'NFR repository'!$U51)&gt;0,FALSE)),'NFR repository'!$I51,0)</f>
        <v>0</v>
      </c>
      <c r="AX51" s="231">
        <f>IF(AND('NFR repository'!$H51=Params!$I$3,Synthesis!$I$8&lt;&gt;Params!$B$17,IFERROR(FIND(AX$1,'NFR repository'!$U51)&gt;0,FALSE)),'NFR repository'!$I51,0)</f>
        <v>0</v>
      </c>
      <c r="AY51" s="231">
        <f>IF(AND('NFR repository'!$H51=Params!$I$3,IFERROR(FIND(AY$1,'NFR repository'!$U51)&gt;0,FALSE)),'NFR repository'!$I51,0)</f>
        <v>0</v>
      </c>
      <c r="AZ51" s="231">
        <f>IF(AND('NFR repository'!$H51=Params!$I$3,IFERROR(FIND(AZ$1,'NFR repository'!$U51)&gt;0,FALSE)),'NFR repository'!$I51,0)</f>
        <v>0</v>
      </c>
      <c r="BA51" s="231">
        <f>IF(AND('NFR repository'!$H51=Params!$I$3,IFERROR(FIND(BA$1,'NFR repository'!$U51)&gt;0,FALSE)),'NFR repository'!$I51,0)</f>
        <v>0</v>
      </c>
      <c r="BB51" s="231">
        <f>IF(AND('NFR repository'!$H51=Params!$I$3,IFERROR(FIND(BB$1,'NFR repository'!$U51)&gt;0,FALSE)),'NFR repository'!$I51,0)</f>
        <v>0</v>
      </c>
      <c r="BC51" s="231">
        <f>IF(AND('NFR repository'!$H51=Params!$I$3,IFERROR(FIND(BC$1,'NFR repository'!$U51)&gt;0,FALSE)),'NFR repository'!$I51,0)</f>
        <v>0</v>
      </c>
      <c r="BD51" s="231">
        <f>IF(AND('NFR repository'!$H51=Params!$I$3,IFERROR(FIND(BD$1,'NFR repository'!$U51)&gt;0,FALSE)),'NFR repository'!$I51,0)</f>
        <v>0</v>
      </c>
      <c r="BE51" s="93">
        <f>IF(AND('NFR repository'!$H51=Params!$I$3,IFERROR(FIND(BE$1,'NFR repository'!$U51)&gt;0,FALSE)),'NFR repository'!$I51,0)</f>
        <v>0</v>
      </c>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row>
    <row r="52" spans="1:84" ht="60" x14ac:dyDescent="0.25">
      <c r="A52" s="2"/>
      <c r="B52" s="190" t="s">
        <v>617</v>
      </c>
      <c r="C52" s="191" t="s">
        <v>637</v>
      </c>
      <c r="D52" s="170" t="s">
        <v>776</v>
      </c>
      <c r="E52" s="170" t="s">
        <v>641</v>
      </c>
      <c r="F52" s="169" t="s">
        <v>618</v>
      </c>
      <c r="G52" s="75" t="s">
        <v>742</v>
      </c>
      <c r="H52" s="35" t="s">
        <v>472</v>
      </c>
      <c r="I52" s="72" t="s">
        <v>41</v>
      </c>
      <c r="J52" s="214"/>
      <c r="K52" s="214"/>
      <c r="L52" s="192"/>
      <c r="M52" s="79" t="s">
        <v>558</v>
      </c>
      <c r="N52" s="79" t="s">
        <v>148</v>
      </c>
      <c r="O52" s="75" t="s">
        <v>574</v>
      </c>
      <c r="P52" s="75" t="s">
        <v>577</v>
      </c>
      <c r="Q52" s="75" t="s">
        <v>46</v>
      </c>
      <c r="R52" s="75" t="s">
        <v>46</v>
      </c>
      <c r="S52" s="169" t="s">
        <v>46</v>
      </c>
      <c r="T52" s="169" t="s">
        <v>46</v>
      </c>
      <c r="U52" s="169" t="s">
        <v>146</v>
      </c>
      <c r="V52" s="169" t="s">
        <v>146</v>
      </c>
      <c r="W52" s="73"/>
      <c r="X52" s="73"/>
      <c r="Y52" s="73"/>
      <c r="Z52" s="73"/>
      <c r="AA52" s="73"/>
      <c r="AB52" s="73"/>
      <c r="AC52" s="73"/>
      <c r="AD52" s="73"/>
      <c r="AE52" s="73"/>
      <c r="AF52" s="73"/>
      <c r="AG52" s="73"/>
      <c r="AH52" s="73"/>
      <c r="AI52" s="73"/>
      <c r="AJ52" s="73"/>
      <c r="AK52" s="73"/>
      <c r="AL52" s="73"/>
      <c r="AM52" s="73"/>
      <c r="AN52" s="73"/>
      <c r="AO52" s="73"/>
      <c r="AP52" s="73"/>
      <c r="AQ52" s="73"/>
      <c r="AR52" s="2"/>
      <c r="AS52" s="92" t="e">
        <f ca="1">IF(AND('NFR repository'!H52=Params!$I$3,INDIRECT("'NFR repository'!L" &amp; ROW('NFR repository'!A52) &amp; "C" &amp; TEXT(24 + $AS$2,"0"),FALSE)&lt;&gt;""),'NFR repository'!I52,0)</f>
        <v>#REF!</v>
      </c>
      <c r="AT52" s="168" t="e">
        <f ca="1">IF(AND('NFR repository'!H52=Params!$I$3,INDIRECT("'NFR repository'!L" &amp; ROW('NFR repository'!R52) &amp; "C" &amp; TEXT(28 + $AT$2,"0"),FALSE)&lt;&gt;""),'NFR repository'!I52,0)</f>
        <v>#REF!</v>
      </c>
      <c r="AU52" s="168" t="e">
        <f ca="1">IF(AND('NFR repository'!H52=Params!$I$3,INDIRECT("'NFR repository'!L" &amp; ROW('NFR repository'!R52) &amp; "C" &amp; TEXT(32 + $AU$2,"0"),FALSE)&lt;&gt;""),'NFR repository'!I52,0)</f>
        <v>#REF!</v>
      </c>
      <c r="AV52" s="233" t="e">
        <f ca="1">IF(AND('NFR repository'!H52=Params!$I$3,INDIRECT("'NFR repository'!L" &amp; ROW('NFR repository'!R52) &amp; "C" &amp; TEXT(36 + $AV$2,"0"),FALSE)&lt;&gt;""),'NFR repository'!I52,0)</f>
        <v>#REF!</v>
      </c>
      <c r="AW52" s="92">
        <f>IF(AND('NFR repository'!$H52=Params!$I$3,IFERROR(FIND(AW$1,'NFR repository'!$U52)&gt;0,FALSE)),'NFR repository'!$I52,0)</f>
        <v>0</v>
      </c>
      <c r="AX52" s="231">
        <f>IF(AND('NFR repository'!$H52=Params!$I$3,Synthesis!$I$8&lt;&gt;Params!$B$17,IFERROR(FIND(AX$1,'NFR repository'!$U52)&gt;0,FALSE)),'NFR repository'!$I52,0)</f>
        <v>0</v>
      </c>
      <c r="AY52" s="231">
        <f>IF(AND('NFR repository'!$H52=Params!$I$3,IFERROR(FIND(AY$1,'NFR repository'!$U52)&gt;0,FALSE)),'NFR repository'!$I52,0)</f>
        <v>0</v>
      </c>
      <c r="AZ52" s="231">
        <f>IF(AND('NFR repository'!$H52=Params!$I$3,IFERROR(FIND(AZ$1,'NFR repository'!$U52)&gt;0,FALSE)),'NFR repository'!$I52,0)</f>
        <v>0</v>
      </c>
      <c r="BA52" s="231">
        <f>IF(AND('NFR repository'!$H52=Params!$I$3,IFERROR(FIND(BA$1,'NFR repository'!$U52)&gt;0,FALSE)),'NFR repository'!$I52,0)</f>
        <v>0</v>
      </c>
      <c r="BB52" s="231">
        <f>IF(AND('NFR repository'!$H52=Params!$I$3,IFERROR(FIND(BB$1,'NFR repository'!$U52)&gt;0,FALSE)),'NFR repository'!$I52,0)</f>
        <v>0</v>
      </c>
      <c r="BC52" s="231">
        <f>IF(AND('NFR repository'!$H52=Params!$I$3,IFERROR(FIND(BC$1,'NFR repository'!$U52)&gt;0,FALSE)),'NFR repository'!$I52,0)</f>
        <v>0</v>
      </c>
      <c r="BD52" s="231">
        <f>IF(AND('NFR repository'!$H52=Params!$I$3,IFERROR(FIND(BD$1,'NFR repository'!$U52)&gt;0,FALSE)),'NFR repository'!$I52,0)</f>
        <v>0</v>
      </c>
      <c r="BE52" s="93">
        <f>IF(AND('NFR repository'!$H52=Params!$I$3,IFERROR(FIND(BE$1,'NFR repository'!$U52)&gt;0,FALSE)),'NFR repository'!$I52,0)</f>
        <v>0</v>
      </c>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row>
    <row r="53" spans="1:84" ht="15.75" x14ac:dyDescent="0.25">
      <c r="A53" s="1"/>
      <c r="B53" s="52" t="s">
        <v>77</v>
      </c>
      <c r="C53" s="39" t="s">
        <v>115</v>
      </c>
      <c r="D53" s="82"/>
      <c r="E53" s="82"/>
      <c r="F53" s="4"/>
      <c r="G53" s="77"/>
      <c r="H53" s="4"/>
      <c r="I53" s="49"/>
      <c r="J53" s="213"/>
      <c r="K53" s="213"/>
      <c r="L53" s="189"/>
      <c r="M53" s="76"/>
      <c r="N53" s="76"/>
      <c r="O53" s="77"/>
      <c r="P53" s="77"/>
      <c r="Q53" s="77"/>
      <c r="R53" s="77"/>
      <c r="S53" s="4"/>
      <c r="T53" s="4"/>
      <c r="U53" s="4"/>
      <c r="V53" s="4"/>
      <c r="W53" s="4"/>
      <c r="X53" s="4"/>
      <c r="Y53" s="4"/>
      <c r="Z53" s="4"/>
      <c r="AA53" s="4"/>
      <c r="AB53" s="4"/>
      <c r="AC53" s="4"/>
      <c r="AD53" s="4"/>
      <c r="AE53" s="4"/>
      <c r="AF53" s="4"/>
      <c r="AG53" s="4"/>
      <c r="AH53" s="4"/>
      <c r="AI53" s="4"/>
      <c r="AJ53" s="4"/>
      <c r="AK53" s="4"/>
      <c r="AL53" s="4"/>
      <c r="AM53" s="4"/>
      <c r="AN53" s="4"/>
      <c r="AO53" s="4"/>
      <c r="AP53" s="4"/>
      <c r="AQ53" s="4"/>
      <c r="AR53" s="2"/>
      <c r="AS53" s="92" t="e">
        <f ca="1">IF(AND('NFR repository'!H53=Params!$I$3,INDIRECT("'NFR repository'!L" &amp; ROW('NFR repository'!A53) &amp; "C" &amp; TEXT(24 + $AS$2,"0"),FALSE)&lt;&gt;""),'NFR repository'!I53,0)</f>
        <v>#REF!</v>
      </c>
      <c r="AT53" s="168" t="e">
        <f ca="1">IF(AND('NFR repository'!H53=Params!$I$3,INDIRECT("'NFR repository'!L" &amp; ROW('NFR repository'!R53) &amp; "C" &amp; TEXT(28 + $AT$2,"0"),FALSE)&lt;&gt;""),'NFR repository'!I53,0)</f>
        <v>#REF!</v>
      </c>
      <c r="AU53" s="168" t="e">
        <f ca="1">IF(AND('NFR repository'!H53=Params!$I$3,INDIRECT("'NFR repository'!L" &amp; ROW('NFR repository'!R53) &amp; "C" &amp; TEXT(32 + $AU$2,"0"),FALSE)&lt;&gt;""),'NFR repository'!I53,0)</f>
        <v>#REF!</v>
      </c>
      <c r="AV53" s="233" t="e">
        <f ca="1">IF(AND('NFR repository'!H53=Params!$I$3,INDIRECT("'NFR repository'!L" &amp; ROW('NFR repository'!R53) &amp; "C" &amp; TEXT(36 + $AV$2,"0"),FALSE)&lt;&gt;""),'NFR repository'!I53,0)</f>
        <v>#REF!</v>
      </c>
      <c r="AW53" s="92">
        <f>IF(AND('NFR repository'!$H53=Params!$I$3,IFERROR(FIND(AW$1,'NFR repository'!$U53)&gt;0,FALSE)),'NFR repository'!$I53,0)</f>
        <v>0</v>
      </c>
      <c r="AX53" s="231">
        <f>IF(AND('NFR repository'!$H53=Params!$I$3,Synthesis!$I$8&lt;&gt;Params!$B$17,IFERROR(FIND(AX$1,'NFR repository'!$U53)&gt;0,FALSE)),'NFR repository'!$I53,0)</f>
        <v>0</v>
      </c>
      <c r="AY53" s="231">
        <f>IF(AND('NFR repository'!$H53=Params!$I$3,IFERROR(FIND(AY$1,'NFR repository'!$U53)&gt;0,FALSE)),'NFR repository'!$I53,0)</f>
        <v>0</v>
      </c>
      <c r="AZ53" s="231">
        <f>IF(AND('NFR repository'!$H53=Params!$I$3,IFERROR(FIND(AZ$1,'NFR repository'!$U53)&gt;0,FALSE)),'NFR repository'!$I53,0)</f>
        <v>0</v>
      </c>
      <c r="BA53" s="231">
        <f>IF(AND('NFR repository'!$H53=Params!$I$3,IFERROR(FIND(BA$1,'NFR repository'!$U53)&gt;0,FALSE)),'NFR repository'!$I53,0)</f>
        <v>0</v>
      </c>
      <c r="BB53" s="231">
        <f>IF(AND('NFR repository'!$H53=Params!$I$3,IFERROR(FIND(BB$1,'NFR repository'!$U53)&gt;0,FALSE)),'NFR repository'!$I53,0)</f>
        <v>0</v>
      </c>
      <c r="BC53" s="231">
        <f>IF(AND('NFR repository'!$H53=Params!$I$3,IFERROR(FIND(BC$1,'NFR repository'!$U53)&gt;0,FALSE)),'NFR repository'!$I53,0)</f>
        <v>0</v>
      </c>
      <c r="BD53" s="231">
        <f>IF(AND('NFR repository'!$H53=Params!$I$3,IFERROR(FIND(BD$1,'NFR repository'!$U53)&gt;0,FALSE)),'NFR repository'!$I53,0)</f>
        <v>0</v>
      </c>
      <c r="BE53" s="93">
        <f>IF(AND('NFR repository'!$H53=Params!$I$3,IFERROR(FIND(BE$1,'NFR repository'!$U53)&gt;0,FALSE)),'NFR repository'!$I53,0)</f>
        <v>0</v>
      </c>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row>
    <row r="54" spans="1:84" ht="45" x14ac:dyDescent="0.25">
      <c r="A54" s="2"/>
      <c r="B54" s="190" t="s">
        <v>619</v>
      </c>
      <c r="C54" s="191" t="s">
        <v>635</v>
      </c>
      <c r="D54" s="203" t="s">
        <v>775</v>
      </c>
      <c r="E54" s="170" t="s">
        <v>621</v>
      </c>
      <c r="F54" s="169" t="s">
        <v>620</v>
      </c>
      <c r="G54" s="75" t="s">
        <v>742</v>
      </c>
      <c r="H54" s="35" t="s">
        <v>472</v>
      </c>
      <c r="I54" s="72" t="s">
        <v>41</v>
      </c>
      <c r="J54" s="214"/>
      <c r="K54" s="214"/>
      <c r="L54" s="192"/>
      <c r="M54" s="79" t="s">
        <v>558</v>
      </c>
      <c r="N54" s="79" t="s">
        <v>622</v>
      </c>
      <c r="O54" s="75" t="s">
        <v>573</v>
      </c>
      <c r="P54" s="75" t="s">
        <v>577</v>
      </c>
      <c r="Q54" s="75" t="s">
        <v>46</v>
      </c>
      <c r="R54" s="75" t="s">
        <v>46</v>
      </c>
      <c r="S54" s="169" t="s">
        <v>46</v>
      </c>
      <c r="T54" s="169" t="s">
        <v>46</v>
      </c>
      <c r="U54" s="169" t="s">
        <v>146</v>
      </c>
      <c r="V54" s="169" t="s">
        <v>146</v>
      </c>
      <c r="W54" s="73"/>
      <c r="X54" s="73"/>
      <c r="Y54" s="73"/>
      <c r="Z54" s="73"/>
      <c r="AA54" s="73"/>
      <c r="AB54" s="73"/>
      <c r="AC54" s="73"/>
      <c r="AD54" s="73"/>
      <c r="AE54" s="73"/>
      <c r="AF54" s="73"/>
      <c r="AG54" s="73"/>
      <c r="AH54" s="73"/>
      <c r="AI54" s="73"/>
      <c r="AJ54" s="73"/>
      <c r="AK54" s="73"/>
      <c r="AL54" s="73"/>
      <c r="AM54" s="73"/>
      <c r="AN54" s="73"/>
      <c r="AO54" s="73"/>
      <c r="AP54" s="73"/>
      <c r="AQ54" s="73"/>
      <c r="AR54" s="2"/>
      <c r="AS54" s="92" t="e">
        <f ca="1">IF(AND('NFR repository'!H54=Params!$I$3,INDIRECT("'NFR repository'!L" &amp; ROW('NFR repository'!A54) &amp; "C" &amp; TEXT(24 + $AS$2,"0"),FALSE)&lt;&gt;""),'NFR repository'!I54,0)</f>
        <v>#REF!</v>
      </c>
      <c r="AT54" s="168" t="e">
        <f ca="1">IF(AND('NFR repository'!H54=Params!$I$3,INDIRECT("'NFR repository'!L" &amp; ROW('NFR repository'!R54) &amp; "C" &amp; TEXT(28 + $AT$2,"0"),FALSE)&lt;&gt;""),'NFR repository'!I54,0)</f>
        <v>#REF!</v>
      </c>
      <c r="AU54" s="168" t="e">
        <f ca="1">IF(AND('NFR repository'!H54=Params!$I$3,INDIRECT("'NFR repository'!L" &amp; ROW('NFR repository'!R54) &amp; "C" &amp; TEXT(32 + $AU$2,"0"),FALSE)&lt;&gt;""),'NFR repository'!I54,0)</f>
        <v>#REF!</v>
      </c>
      <c r="AV54" s="233" t="e">
        <f ca="1">IF(AND('NFR repository'!H54=Params!$I$3,INDIRECT("'NFR repository'!L" &amp; ROW('NFR repository'!R54) &amp; "C" &amp; TEXT(36 + $AV$2,"0"),FALSE)&lt;&gt;""),'NFR repository'!I54,0)</f>
        <v>#REF!</v>
      </c>
      <c r="AW54" s="92">
        <f>IF(AND('NFR repository'!$H54=Params!$I$3,IFERROR(FIND(AW$1,'NFR repository'!$U54)&gt;0,FALSE)),'NFR repository'!$I54,0)</f>
        <v>0</v>
      </c>
      <c r="AX54" s="231">
        <f>IF(AND('NFR repository'!$H54=Params!$I$3,Synthesis!$I$8&lt;&gt;Params!$B$17,IFERROR(FIND(AX$1,'NFR repository'!$U54)&gt;0,FALSE)),'NFR repository'!$I54,0)</f>
        <v>0</v>
      </c>
      <c r="AY54" s="231">
        <f>IF(AND('NFR repository'!$H54=Params!$I$3,IFERROR(FIND(AY$1,'NFR repository'!$U54)&gt;0,FALSE)),'NFR repository'!$I54,0)</f>
        <v>0</v>
      </c>
      <c r="AZ54" s="231">
        <f>IF(AND('NFR repository'!$H54=Params!$I$3,IFERROR(FIND(AZ$1,'NFR repository'!$U54)&gt;0,FALSE)),'NFR repository'!$I54,0)</f>
        <v>0</v>
      </c>
      <c r="BA54" s="231">
        <f>IF(AND('NFR repository'!$H54=Params!$I$3,IFERROR(FIND(BA$1,'NFR repository'!$U54)&gt;0,FALSE)),'NFR repository'!$I54,0)</f>
        <v>0</v>
      </c>
      <c r="BB54" s="231">
        <f>IF(AND('NFR repository'!$H54=Params!$I$3,IFERROR(FIND(BB$1,'NFR repository'!$U54)&gt;0,FALSE)),'NFR repository'!$I54,0)</f>
        <v>0</v>
      </c>
      <c r="BC54" s="231">
        <f>IF(AND('NFR repository'!$H54=Params!$I$3,IFERROR(FIND(BC$1,'NFR repository'!$U54)&gt;0,FALSE)),'NFR repository'!$I54,0)</f>
        <v>0</v>
      </c>
      <c r="BD54" s="231">
        <f>IF(AND('NFR repository'!$H54=Params!$I$3,IFERROR(FIND(BD$1,'NFR repository'!$U54)&gt;0,FALSE)),'NFR repository'!$I54,0)</f>
        <v>0</v>
      </c>
      <c r="BE54" s="93">
        <f>IF(AND('NFR repository'!$H54=Params!$I$3,IFERROR(FIND(BE$1,'NFR repository'!$U54)&gt;0,FALSE)),'NFR repository'!$I54,0)</f>
        <v>0</v>
      </c>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row>
    <row r="55" spans="1:84" ht="18.75" x14ac:dyDescent="0.25">
      <c r="A55" s="1"/>
      <c r="B55" s="182">
        <v>5</v>
      </c>
      <c r="C55" s="183" t="s">
        <v>56</v>
      </c>
      <c r="D55" s="184"/>
      <c r="E55" s="184"/>
      <c r="F55" s="185"/>
      <c r="G55" s="197"/>
      <c r="H55" s="185"/>
      <c r="I55" s="186"/>
      <c r="J55" s="212"/>
      <c r="K55" s="212"/>
      <c r="L55" s="187"/>
      <c r="M55" s="198"/>
      <c r="N55" s="198"/>
      <c r="O55" s="197"/>
      <c r="P55" s="197"/>
      <c r="Q55" s="197"/>
      <c r="R55" s="197"/>
      <c r="S55" s="185"/>
      <c r="T55" s="185"/>
      <c r="U55" s="184"/>
      <c r="V55" s="184"/>
      <c r="W55" s="184"/>
      <c r="X55" s="185"/>
      <c r="Y55" s="185"/>
      <c r="Z55" s="185"/>
      <c r="AA55" s="185"/>
      <c r="AB55" s="185"/>
      <c r="AC55" s="185"/>
      <c r="AD55" s="185"/>
      <c r="AE55" s="185"/>
      <c r="AF55" s="185"/>
      <c r="AG55" s="185"/>
      <c r="AH55" s="185"/>
      <c r="AI55" s="185"/>
      <c r="AJ55" s="185"/>
      <c r="AK55" s="185"/>
      <c r="AL55" s="185"/>
      <c r="AM55" s="185"/>
      <c r="AN55" s="185"/>
      <c r="AO55" s="185"/>
      <c r="AP55" s="185"/>
      <c r="AQ55" s="185"/>
      <c r="AR55" s="2"/>
      <c r="AS55" s="92" t="e">
        <f ca="1">IF(AND('NFR repository'!H55=Params!$I$3,INDIRECT("'NFR repository'!L" &amp; ROW('NFR repository'!A55) &amp; "C" &amp; TEXT(24 + $AS$2,"0"),FALSE)&lt;&gt;""),'NFR repository'!I55,0)</f>
        <v>#REF!</v>
      </c>
      <c r="AT55" s="168" t="e">
        <f ca="1">IF(AND('NFR repository'!H55=Params!$I$3,INDIRECT("'NFR repository'!L" &amp; ROW('NFR repository'!R55) &amp; "C" &amp; TEXT(28 + $AT$2,"0"),FALSE)&lt;&gt;""),'NFR repository'!I55,0)</f>
        <v>#REF!</v>
      </c>
      <c r="AU55" s="168" t="e">
        <f ca="1">IF(AND('NFR repository'!H55=Params!$I$3,INDIRECT("'NFR repository'!L" &amp; ROW('NFR repository'!R55) &amp; "C" &amp; TEXT(32 + $AU$2,"0"),FALSE)&lt;&gt;""),'NFR repository'!I55,0)</f>
        <v>#REF!</v>
      </c>
      <c r="AV55" s="233" t="e">
        <f ca="1">IF(AND('NFR repository'!H55=Params!$I$3,INDIRECT("'NFR repository'!L" &amp; ROW('NFR repository'!R55) &amp; "C" &amp; TEXT(36 + $AV$2,"0"),FALSE)&lt;&gt;""),'NFR repository'!I55,0)</f>
        <v>#REF!</v>
      </c>
      <c r="AW55" s="92">
        <f>IF(AND('NFR repository'!$H55=Params!$I$3,IFERROR(FIND(AW$1,'NFR repository'!$U55)&gt;0,FALSE)),'NFR repository'!$I55,0)</f>
        <v>0</v>
      </c>
      <c r="AX55" s="231">
        <f>IF(AND('NFR repository'!$H55=Params!$I$3,Synthesis!$I$8&lt;&gt;Params!$B$17,IFERROR(FIND(AX$1,'NFR repository'!$U55)&gt;0,FALSE)),'NFR repository'!$I55,0)</f>
        <v>0</v>
      </c>
      <c r="AY55" s="231">
        <f>IF(AND('NFR repository'!$H55=Params!$I$3,IFERROR(FIND(AY$1,'NFR repository'!$U55)&gt;0,FALSE)),'NFR repository'!$I55,0)</f>
        <v>0</v>
      </c>
      <c r="AZ55" s="231">
        <f>IF(AND('NFR repository'!$H55=Params!$I$3,IFERROR(FIND(AZ$1,'NFR repository'!$U55)&gt;0,FALSE)),'NFR repository'!$I55,0)</f>
        <v>0</v>
      </c>
      <c r="BA55" s="231">
        <f>IF(AND('NFR repository'!$H55=Params!$I$3,IFERROR(FIND(BA$1,'NFR repository'!$U55)&gt;0,FALSE)),'NFR repository'!$I55,0)</f>
        <v>0</v>
      </c>
      <c r="BB55" s="231">
        <f>IF(AND('NFR repository'!$H55=Params!$I$3,IFERROR(FIND(BB$1,'NFR repository'!$U55)&gt;0,FALSE)),'NFR repository'!$I55,0)</f>
        <v>0</v>
      </c>
      <c r="BC55" s="231">
        <f>IF(AND('NFR repository'!$H55=Params!$I$3,IFERROR(FIND(BC$1,'NFR repository'!$U55)&gt;0,FALSE)),'NFR repository'!$I55,0)</f>
        <v>0</v>
      </c>
      <c r="BD55" s="231">
        <f>IF(AND('NFR repository'!$H55=Params!$I$3,IFERROR(FIND(BD$1,'NFR repository'!$U55)&gt;0,FALSE)),'NFR repository'!$I55,0)</f>
        <v>0</v>
      </c>
      <c r="BE55" s="93">
        <f>IF(AND('NFR repository'!$H55=Params!$I$3,IFERROR(FIND(BE$1,'NFR repository'!$U55)&gt;0,FALSE)),'NFR repository'!$I55,0)</f>
        <v>0</v>
      </c>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row>
    <row r="56" spans="1:84" ht="15.75" x14ac:dyDescent="0.25">
      <c r="A56" s="1"/>
      <c r="B56" s="52" t="s">
        <v>12</v>
      </c>
      <c r="C56" s="39" t="s">
        <v>116</v>
      </c>
      <c r="D56" s="82"/>
      <c r="E56" s="82"/>
      <c r="F56" s="4"/>
      <c r="G56" s="77"/>
      <c r="H56" s="4"/>
      <c r="I56" s="49"/>
      <c r="J56" s="213"/>
      <c r="K56" s="213"/>
      <c r="L56" s="189"/>
      <c r="M56" s="76"/>
      <c r="N56" s="76"/>
      <c r="O56" s="77"/>
      <c r="P56" s="77"/>
      <c r="Q56" s="77"/>
      <c r="R56" s="77"/>
      <c r="S56" s="4"/>
      <c r="T56" s="4"/>
      <c r="U56" s="4"/>
      <c r="V56" s="4"/>
      <c r="W56" s="4"/>
      <c r="X56" s="4"/>
      <c r="Y56" s="4"/>
      <c r="Z56" s="4"/>
      <c r="AA56" s="4"/>
      <c r="AB56" s="4"/>
      <c r="AC56" s="4"/>
      <c r="AD56" s="4"/>
      <c r="AE56" s="4"/>
      <c r="AF56" s="4"/>
      <c r="AG56" s="4"/>
      <c r="AH56" s="4"/>
      <c r="AI56" s="4"/>
      <c r="AJ56" s="4"/>
      <c r="AK56" s="4"/>
      <c r="AL56" s="4"/>
      <c r="AM56" s="4"/>
      <c r="AN56" s="4"/>
      <c r="AO56" s="4"/>
      <c r="AP56" s="4"/>
      <c r="AQ56" s="4"/>
      <c r="AR56" s="2"/>
      <c r="AS56" s="92" t="e">
        <f ca="1">IF(AND('NFR repository'!H56=Params!$I$3,INDIRECT("'NFR repository'!L" &amp; ROW('NFR repository'!A56) &amp; "C" &amp; TEXT(24 + $AS$2,"0"),FALSE)&lt;&gt;""),'NFR repository'!I56,0)</f>
        <v>#REF!</v>
      </c>
      <c r="AT56" s="168" t="e">
        <f ca="1">IF(AND('NFR repository'!H56=Params!$I$3,INDIRECT("'NFR repository'!L" &amp; ROW('NFR repository'!R56) &amp; "C" &amp; TEXT(28 + $AT$2,"0"),FALSE)&lt;&gt;""),'NFR repository'!I56,0)</f>
        <v>#REF!</v>
      </c>
      <c r="AU56" s="168" t="e">
        <f ca="1">IF(AND('NFR repository'!H56=Params!$I$3,INDIRECT("'NFR repository'!L" &amp; ROW('NFR repository'!R56) &amp; "C" &amp; TEXT(32 + $AU$2,"0"),FALSE)&lt;&gt;""),'NFR repository'!I56,0)</f>
        <v>#REF!</v>
      </c>
      <c r="AV56" s="233" t="e">
        <f ca="1">IF(AND('NFR repository'!H56=Params!$I$3,INDIRECT("'NFR repository'!L" &amp; ROW('NFR repository'!R56) &amp; "C" &amp; TEXT(36 + $AV$2,"0"),FALSE)&lt;&gt;""),'NFR repository'!I56,0)</f>
        <v>#REF!</v>
      </c>
      <c r="AW56" s="92">
        <f>IF(AND('NFR repository'!$H56=Params!$I$3,IFERROR(FIND(AW$1,'NFR repository'!$U56)&gt;0,FALSE)),'NFR repository'!$I56,0)</f>
        <v>0</v>
      </c>
      <c r="AX56" s="231">
        <f>IF(AND('NFR repository'!$H56=Params!$I$3,Synthesis!$I$8&lt;&gt;Params!$B$17,IFERROR(FIND(AX$1,'NFR repository'!$U56)&gt;0,FALSE)),'NFR repository'!$I56,0)</f>
        <v>0</v>
      </c>
      <c r="AY56" s="231">
        <f>IF(AND('NFR repository'!$H56=Params!$I$3,IFERROR(FIND(AY$1,'NFR repository'!$U56)&gt;0,FALSE)),'NFR repository'!$I56,0)</f>
        <v>0</v>
      </c>
      <c r="AZ56" s="231">
        <f>IF(AND('NFR repository'!$H56=Params!$I$3,IFERROR(FIND(AZ$1,'NFR repository'!$U56)&gt;0,FALSE)),'NFR repository'!$I56,0)</f>
        <v>0</v>
      </c>
      <c r="BA56" s="231">
        <f>IF(AND('NFR repository'!$H56=Params!$I$3,IFERROR(FIND(BA$1,'NFR repository'!$U56)&gt;0,FALSE)),'NFR repository'!$I56,0)</f>
        <v>0</v>
      </c>
      <c r="BB56" s="231">
        <f>IF(AND('NFR repository'!$H56=Params!$I$3,IFERROR(FIND(BB$1,'NFR repository'!$U56)&gt;0,FALSE)),'NFR repository'!$I56,0)</f>
        <v>0</v>
      </c>
      <c r="BC56" s="231">
        <f>IF(AND('NFR repository'!$H56=Params!$I$3,IFERROR(FIND(BC$1,'NFR repository'!$U56)&gt;0,FALSE)),'NFR repository'!$I56,0)</f>
        <v>0</v>
      </c>
      <c r="BD56" s="231">
        <f>IF(AND('NFR repository'!$H56=Params!$I$3,IFERROR(FIND(BD$1,'NFR repository'!$U56)&gt;0,FALSE)),'NFR repository'!$I56,0)</f>
        <v>0</v>
      </c>
      <c r="BE56" s="93">
        <f>IF(AND('NFR repository'!$H56=Params!$I$3,IFERROR(FIND(BE$1,'NFR repository'!$U56)&gt;0,FALSE)),'NFR repository'!$I56,0)</f>
        <v>0</v>
      </c>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row>
    <row r="57" spans="1:84" ht="45" x14ac:dyDescent="0.25">
      <c r="A57" s="1"/>
      <c r="B57" s="193" t="s">
        <v>217</v>
      </c>
      <c r="C57" s="194" t="s">
        <v>359</v>
      </c>
      <c r="D57" s="36" t="s">
        <v>137</v>
      </c>
      <c r="E57" s="36"/>
      <c r="F57" s="35" t="s">
        <v>149</v>
      </c>
      <c r="G57" s="51" t="s">
        <v>608</v>
      </c>
      <c r="H57" s="35" t="s">
        <v>472</v>
      </c>
      <c r="I57" s="72" t="s">
        <v>41</v>
      </c>
      <c r="J57" s="215"/>
      <c r="K57" s="215"/>
      <c r="L57" s="195"/>
      <c r="M57" s="79" t="s">
        <v>130</v>
      </c>
      <c r="N57" s="79" t="s">
        <v>139</v>
      </c>
      <c r="O57" s="51" t="s">
        <v>576</v>
      </c>
      <c r="P57" s="51" t="s">
        <v>579</v>
      </c>
      <c r="Q57" s="51" t="s">
        <v>46</v>
      </c>
      <c r="R57" s="51" t="s">
        <v>46</v>
      </c>
      <c r="S57" s="35" t="s">
        <v>46</v>
      </c>
      <c r="T57" s="35" t="s">
        <v>46</v>
      </c>
      <c r="U57" s="35" t="s">
        <v>591</v>
      </c>
      <c r="V57" s="35" t="s">
        <v>591</v>
      </c>
      <c r="W57" s="3"/>
      <c r="X57" s="3"/>
      <c r="Y57" s="3"/>
      <c r="Z57" s="3"/>
      <c r="AA57" s="3"/>
      <c r="AB57" s="3"/>
      <c r="AC57" s="3"/>
      <c r="AD57" s="3"/>
      <c r="AE57" s="3"/>
      <c r="AF57" s="3"/>
      <c r="AG57" s="3"/>
      <c r="AH57" s="3"/>
      <c r="AI57" s="3"/>
      <c r="AJ57" s="3"/>
      <c r="AK57" s="3"/>
      <c r="AL57" s="3"/>
      <c r="AM57" s="3"/>
      <c r="AN57" s="3"/>
      <c r="AO57" s="3"/>
      <c r="AP57" s="3"/>
      <c r="AQ57" s="3"/>
      <c r="AR57" s="2"/>
      <c r="AS57" s="92" t="e">
        <f ca="1">IF(AND('NFR repository'!H57=Params!$I$3,INDIRECT("'NFR repository'!L" &amp; ROW('NFR repository'!A57) &amp; "C" &amp; TEXT(24 + $AS$2,"0"),FALSE)&lt;&gt;""),'NFR repository'!I57,0)</f>
        <v>#REF!</v>
      </c>
      <c r="AT57" s="168" t="e">
        <f ca="1">IF(AND('NFR repository'!H57=Params!$I$3,INDIRECT("'NFR repository'!L" &amp; ROW('NFR repository'!R57) &amp; "C" &amp; TEXT(28 + $AT$2,"0"),FALSE)&lt;&gt;""),'NFR repository'!I57,0)</f>
        <v>#REF!</v>
      </c>
      <c r="AU57" s="168" t="e">
        <f ca="1">IF(AND('NFR repository'!H57=Params!$I$3,INDIRECT("'NFR repository'!L" &amp; ROW('NFR repository'!R57) &amp; "C" &amp; TEXT(32 + $AU$2,"0"),FALSE)&lt;&gt;""),'NFR repository'!I57,0)</f>
        <v>#REF!</v>
      </c>
      <c r="AV57" s="233" t="e">
        <f ca="1">IF(AND('NFR repository'!H57=Params!$I$3,INDIRECT("'NFR repository'!L" &amp; ROW('NFR repository'!R57) &amp; "C" &amp; TEXT(36 + $AV$2,"0"),FALSE)&lt;&gt;""),'NFR repository'!I57,0)</f>
        <v>#REF!</v>
      </c>
      <c r="AW57" s="92">
        <f>IF(AND('NFR repository'!$H57=Params!$I$3,IFERROR(FIND(AW$1,'NFR repository'!$U57)&gt;0,FALSE)),'NFR repository'!$I57,0)</f>
        <v>0</v>
      </c>
      <c r="AX57" s="231">
        <f>IF(AND('NFR repository'!$H57=Params!$I$3,Synthesis!$I$8&lt;&gt;Params!$B$17,IFERROR(FIND(AX$1,'NFR repository'!$U57)&gt;0,FALSE)),'NFR repository'!$I57,0)</f>
        <v>0</v>
      </c>
      <c r="AY57" s="231">
        <f>IF(AND('NFR repository'!$H57=Params!$I$3,IFERROR(FIND(AY$1,'NFR repository'!$U57)&gt;0,FALSE)),'NFR repository'!$I57,0)</f>
        <v>0</v>
      </c>
      <c r="AZ57" s="231">
        <f>IF(AND('NFR repository'!$H57=Params!$I$3,IFERROR(FIND(AZ$1,'NFR repository'!$U57)&gt;0,FALSE)),'NFR repository'!$I57,0)</f>
        <v>0</v>
      </c>
      <c r="BA57" s="231">
        <f>IF(AND('NFR repository'!$H57=Params!$I$3,IFERROR(FIND(BA$1,'NFR repository'!$U57)&gt;0,FALSE)),'NFR repository'!$I57,0)</f>
        <v>0</v>
      </c>
      <c r="BB57" s="231">
        <f>IF(AND('NFR repository'!$H57=Params!$I$3,IFERROR(FIND(BB$1,'NFR repository'!$U57)&gt;0,FALSE)),'NFR repository'!$I57,0)</f>
        <v>0</v>
      </c>
      <c r="BC57" s="231">
        <f>IF(AND('NFR repository'!$H57=Params!$I$3,IFERROR(FIND(BC$1,'NFR repository'!$U57)&gt;0,FALSE)),'NFR repository'!$I57,0)</f>
        <v>0</v>
      </c>
      <c r="BD57" s="231">
        <f>IF(AND('NFR repository'!$H57=Params!$I$3,IFERROR(FIND(BD$1,'NFR repository'!$U57)&gt;0,FALSE)),'NFR repository'!$I57,0)</f>
        <v>0</v>
      </c>
      <c r="BE57" s="93">
        <f>IF(AND('NFR repository'!$H57=Params!$I$3,IFERROR(FIND(BE$1,'NFR repository'!$U57)&gt;0,FALSE)),'NFR repository'!$I57,0)</f>
        <v>0</v>
      </c>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row>
    <row r="58" spans="1:84" ht="45" x14ac:dyDescent="0.25">
      <c r="A58" s="1"/>
      <c r="B58" s="193" t="s">
        <v>218</v>
      </c>
      <c r="C58" s="194" t="s">
        <v>360</v>
      </c>
      <c r="D58" s="83" t="s">
        <v>774</v>
      </c>
      <c r="E58" s="36"/>
      <c r="F58" s="35" t="s">
        <v>133</v>
      </c>
      <c r="G58" s="78" t="s">
        <v>568</v>
      </c>
      <c r="H58" s="35" t="s">
        <v>472</v>
      </c>
      <c r="I58" s="72" t="s">
        <v>41</v>
      </c>
      <c r="J58" s="215"/>
      <c r="K58" s="215"/>
      <c r="L58" s="195"/>
      <c r="M58" s="79" t="s">
        <v>558</v>
      </c>
      <c r="N58" s="79" t="s">
        <v>563</v>
      </c>
      <c r="O58" s="51" t="s">
        <v>573</v>
      </c>
      <c r="P58" s="51" t="s">
        <v>578</v>
      </c>
      <c r="Q58" s="51" t="s">
        <v>156</v>
      </c>
      <c r="R58" s="78" t="s">
        <v>276</v>
      </c>
      <c r="S58" s="35" t="s">
        <v>150</v>
      </c>
      <c r="T58" s="35" t="s">
        <v>46</v>
      </c>
      <c r="U58" s="35" t="s">
        <v>146</v>
      </c>
      <c r="V58" s="35" t="s">
        <v>146</v>
      </c>
      <c r="W58" s="3"/>
      <c r="X58" s="3"/>
      <c r="Y58" s="3"/>
      <c r="Z58" s="3"/>
      <c r="AA58" s="3"/>
      <c r="AB58" s="3"/>
      <c r="AC58" s="3"/>
      <c r="AD58" s="3"/>
      <c r="AE58" s="3"/>
      <c r="AF58" s="3"/>
      <c r="AG58" s="3"/>
      <c r="AH58" s="3"/>
      <c r="AI58" s="3"/>
      <c r="AJ58" s="3"/>
      <c r="AK58" s="3"/>
      <c r="AL58" s="3"/>
      <c r="AM58" s="3"/>
      <c r="AN58" s="3"/>
      <c r="AO58" s="3"/>
      <c r="AP58" s="3"/>
      <c r="AQ58" s="3"/>
      <c r="AR58" s="2"/>
      <c r="AS58" s="92" t="e">
        <f ca="1">IF(AND('NFR repository'!H58=Params!$I$3,INDIRECT("'NFR repository'!L" &amp; ROW('NFR repository'!A58) &amp; "C" &amp; TEXT(24 + $AS$2,"0"),FALSE)&lt;&gt;""),'NFR repository'!I58,0)</f>
        <v>#REF!</v>
      </c>
      <c r="AT58" s="168" t="e">
        <f ca="1">IF(AND('NFR repository'!H58=Params!$I$3,INDIRECT("'NFR repository'!L" &amp; ROW('NFR repository'!R58) &amp; "C" &amp; TEXT(28 + $AT$2,"0"),FALSE)&lt;&gt;""),'NFR repository'!I58,0)</f>
        <v>#REF!</v>
      </c>
      <c r="AU58" s="168" t="e">
        <f ca="1">IF(AND('NFR repository'!H58=Params!$I$3,INDIRECT("'NFR repository'!L" &amp; ROW('NFR repository'!R58) &amp; "C" &amp; TEXT(32 + $AU$2,"0"),FALSE)&lt;&gt;""),'NFR repository'!I58,0)</f>
        <v>#REF!</v>
      </c>
      <c r="AV58" s="233" t="e">
        <f ca="1">IF(AND('NFR repository'!H58=Params!$I$3,INDIRECT("'NFR repository'!L" &amp; ROW('NFR repository'!R58) &amp; "C" &amp; TEXT(36 + $AV$2,"0"),FALSE)&lt;&gt;""),'NFR repository'!I58,0)</f>
        <v>#REF!</v>
      </c>
      <c r="AW58" s="92">
        <f>IF(AND('NFR repository'!$H58=Params!$I$3,IFERROR(FIND(AW$1,'NFR repository'!$U58)&gt;0,FALSE)),'NFR repository'!$I58,0)</f>
        <v>0</v>
      </c>
      <c r="AX58" s="231">
        <f>IF(AND('NFR repository'!$H58=Params!$I$3,Synthesis!$I$8&lt;&gt;Params!$B$17,IFERROR(FIND(AX$1,'NFR repository'!$U58)&gt;0,FALSE)),'NFR repository'!$I58,0)</f>
        <v>0</v>
      </c>
      <c r="AY58" s="231">
        <f>IF(AND('NFR repository'!$H58=Params!$I$3,IFERROR(FIND(AY$1,'NFR repository'!$U58)&gt;0,FALSE)),'NFR repository'!$I58,0)</f>
        <v>0</v>
      </c>
      <c r="AZ58" s="231">
        <f>IF(AND('NFR repository'!$H58=Params!$I$3,IFERROR(FIND(AZ$1,'NFR repository'!$U58)&gt;0,FALSE)),'NFR repository'!$I58,0)</f>
        <v>0</v>
      </c>
      <c r="BA58" s="231">
        <f>IF(AND('NFR repository'!$H58=Params!$I$3,IFERROR(FIND(BA$1,'NFR repository'!$U58)&gt;0,FALSE)),'NFR repository'!$I58,0)</f>
        <v>0</v>
      </c>
      <c r="BB58" s="231">
        <f>IF(AND('NFR repository'!$H58=Params!$I$3,IFERROR(FIND(BB$1,'NFR repository'!$U58)&gt;0,FALSE)),'NFR repository'!$I58,0)</f>
        <v>0</v>
      </c>
      <c r="BC58" s="231">
        <f>IF(AND('NFR repository'!$H58=Params!$I$3,IFERROR(FIND(BC$1,'NFR repository'!$U58)&gt;0,FALSE)),'NFR repository'!$I58,0)</f>
        <v>0</v>
      </c>
      <c r="BD58" s="231">
        <f>IF(AND('NFR repository'!$H58=Params!$I$3,IFERROR(FIND(BD$1,'NFR repository'!$U58)&gt;0,FALSE)),'NFR repository'!$I58,0)</f>
        <v>0</v>
      </c>
      <c r="BE58" s="93">
        <f>IF(AND('NFR repository'!$H58=Params!$I$3,IFERROR(FIND(BE$1,'NFR repository'!$U58)&gt;0,FALSE)),'NFR repository'!$I58,0)</f>
        <v>0</v>
      </c>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row>
    <row r="59" spans="1:84" ht="30" x14ac:dyDescent="0.25">
      <c r="A59" s="1"/>
      <c r="B59" s="193" t="s">
        <v>219</v>
      </c>
      <c r="C59" s="194" t="s">
        <v>361</v>
      </c>
      <c r="D59" s="36" t="s">
        <v>137</v>
      </c>
      <c r="E59" s="36"/>
      <c r="F59" s="35" t="s">
        <v>583</v>
      </c>
      <c r="G59" s="51" t="s">
        <v>583</v>
      </c>
      <c r="H59" s="35" t="s">
        <v>472</v>
      </c>
      <c r="I59" s="72" t="s">
        <v>41</v>
      </c>
      <c r="J59" s="215"/>
      <c r="K59" s="215"/>
      <c r="L59" s="195"/>
      <c r="M59" s="79" t="s">
        <v>130</v>
      </c>
      <c r="N59" s="79" t="s">
        <v>138</v>
      </c>
      <c r="O59" s="51" t="s">
        <v>576</v>
      </c>
      <c r="P59" s="51" t="s">
        <v>576</v>
      </c>
      <c r="Q59" s="51" t="s">
        <v>46</v>
      </c>
      <c r="R59" s="51" t="s">
        <v>46</v>
      </c>
      <c r="S59" s="35" t="s">
        <v>46</v>
      </c>
      <c r="T59" s="35" t="s">
        <v>46</v>
      </c>
      <c r="U59" s="35" t="s">
        <v>591</v>
      </c>
      <c r="V59" s="35" t="s">
        <v>591</v>
      </c>
      <c r="W59" s="3"/>
      <c r="X59" s="3"/>
      <c r="Y59" s="3"/>
      <c r="Z59" s="3"/>
      <c r="AA59" s="3"/>
      <c r="AB59" s="3"/>
      <c r="AC59" s="3"/>
      <c r="AD59" s="3"/>
      <c r="AE59" s="3"/>
      <c r="AF59" s="3"/>
      <c r="AG59" s="3"/>
      <c r="AH59" s="3"/>
      <c r="AI59" s="3"/>
      <c r="AJ59" s="3"/>
      <c r="AK59" s="3"/>
      <c r="AL59" s="3"/>
      <c r="AM59" s="3"/>
      <c r="AN59" s="3"/>
      <c r="AO59" s="3"/>
      <c r="AP59" s="3"/>
      <c r="AQ59" s="3"/>
      <c r="AR59" s="2"/>
      <c r="AS59" s="92" t="e">
        <f ca="1">IF(AND('NFR repository'!H59=Params!$I$3,INDIRECT("'NFR repository'!L" &amp; ROW('NFR repository'!A59) &amp; "C" &amp; TEXT(24 + $AS$2,"0"),FALSE)&lt;&gt;""),'NFR repository'!I59,0)</f>
        <v>#REF!</v>
      </c>
      <c r="AT59" s="168" t="e">
        <f ca="1">IF(AND('NFR repository'!H59=Params!$I$3,INDIRECT("'NFR repository'!L" &amp; ROW('NFR repository'!R59) &amp; "C" &amp; TEXT(28 + $AT$2,"0"),FALSE)&lt;&gt;""),'NFR repository'!I59,0)</f>
        <v>#REF!</v>
      </c>
      <c r="AU59" s="168" t="e">
        <f ca="1">IF(AND('NFR repository'!H59=Params!$I$3,INDIRECT("'NFR repository'!L" &amp; ROW('NFR repository'!R59) &amp; "C" &amp; TEXT(32 + $AU$2,"0"),FALSE)&lt;&gt;""),'NFR repository'!I59,0)</f>
        <v>#REF!</v>
      </c>
      <c r="AV59" s="233" t="e">
        <f ca="1">IF(AND('NFR repository'!H59=Params!$I$3,INDIRECT("'NFR repository'!L" &amp; ROW('NFR repository'!R59) &amp; "C" &amp; TEXT(36 + $AV$2,"0"),FALSE)&lt;&gt;""),'NFR repository'!I59,0)</f>
        <v>#REF!</v>
      </c>
      <c r="AW59" s="92">
        <f>IF(AND('NFR repository'!$H59=Params!$I$3,IFERROR(FIND(AW$1,'NFR repository'!$U59)&gt;0,FALSE)),'NFR repository'!$I59,0)</f>
        <v>0</v>
      </c>
      <c r="AX59" s="231">
        <f>IF(AND('NFR repository'!$H59=Params!$I$3,Synthesis!$I$8&lt;&gt;Params!$B$17,IFERROR(FIND(AX$1,'NFR repository'!$U59)&gt;0,FALSE)),'NFR repository'!$I59,0)</f>
        <v>0</v>
      </c>
      <c r="AY59" s="231">
        <f>IF(AND('NFR repository'!$H59=Params!$I$3,IFERROR(FIND(AY$1,'NFR repository'!$U59)&gt;0,FALSE)),'NFR repository'!$I59,0)</f>
        <v>0</v>
      </c>
      <c r="AZ59" s="231">
        <f>IF(AND('NFR repository'!$H59=Params!$I$3,IFERROR(FIND(AZ$1,'NFR repository'!$U59)&gt;0,FALSE)),'NFR repository'!$I59,0)</f>
        <v>0</v>
      </c>
      <c r="BA59" s="231">
        <f>IF(AND('NFR repository'!$H59=Params!$I$3,IFERROR(FIND(BA$1,'NFR repository'!$U59)&gt;0,FALSE)),'NFR repository'!$I59,0)</f>
        <v>0</v>
      </c>
      <c r="BB59" s="231">
        <f>IF(AND('NFR repository'!$H59=Params!$I$3,IFERROR(FIND(BB$1,'NFR repository'!$U59)&gt;0,FALSE)),'NFR repository'!$I59,0)</f>
        <v>0</v>
      </c>
      <c r="BC59" s="231">
        <f>IF(AND('NFR repository'!$H59=Params!$I$3,IFERROR(FIND(BC$1,'NFR repository'!$U59)&gt;0,FALSE)),'NFR repository'!$I59,0)</f>
        <v>0</v>
      </c>
      <c r="BD59" s="231">
        <f>IF(AND('NFR repository'!$H59=Params!$I$3,IFERROR(FIND(BD$1,'NFR repository'!$U59)&gt;0,FALSE)),'NFR repository'!$I59,0)</f>
        <v>0</v>
      </c>
      <c r="BE59" s="93">
        <f>IF(AND('NFR repository'!$H59=Params!$I$3,IFERROR(FIND(BE$1,'NFR repository'!$U59)&gt;0,FALSE)),'NFR repository'!$I59,0)</f>
        <v>0</v>
      </c>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row>
    <row r="60" spans="1:84" ht="45" x14ac:dyDescent="0.25">
      <c r="A60" s="1"/>
      <c r="B60" s="193" t="s">
        <v>220</v>
      </c>
      <c r="C60" s="194" t="s">
        <v>362</v>
      </c>
      <c r="D60" s="83" t="s">
        <v>773</v>
      </c>
      <c r="E60" s="84"/>
      <c r="F60" s="35" t="s">
        <v>583</v>
      </c>
      <c r="G60" s="51" t="s">
        <v>583</v>
      </c>
      <c r="H60" s="35" t="s">
        <v>472</v>
      </c>
      <c r="I60" s="72" t="s">
        <v>41</v>
      </c>
      <c r="J60" s="215"/>
      <c r="K60" s="215"/>
      <c r="L60" s="195"/>
      <c r="M60" s="79" t="s">
        <v>130</v>
      </c>
      <c r="N60" s="79" t="s">
        <v>136</v>
      </c>
      <c r="O60" s="51" t="s">
        <v>576</v>
      </c>
      <c r="P60" s="51" t="s">
        <v>576</v>
      </c>
      <c r="Q60" s="51" t="s">
        <v>46</v>
      </c>
      <c r="R60" s="51" t="s">
        <v>46</v>
      </c>
      <c r="S60" s="35" t="s">
        <v>46</v>
      </c>
      <c r="T60" s="35" t="s">
        <v>46</v>
      </c>
      <c r="U60" s="35" t="s">
        <v>591</v>
      </c>
      <c r="V60" s="35" t="s">
        <v>591</v>
      </c>
      <c r="W60" s="3"/>
      <c r="X60" s="3"/>
      <c r="Y60" s="3"/>
      <c r="Z60" s="3"/>
      <c r="AA60" s="3"/>
      <c r="AB60" s="3"/>
      <c r="AC60" s="3"/>
      <c r="AD60" s="3"/>
      <c r="AE60" s="3"/>
      <c r="AF60" s="3"/>
      <c r="AG60" s="3"/>
      <c r="AH60" s="3"/>
      <c r="AI60" s="3"/>
      <c r="AJ60" s="3"/>
      <c r="AK60" s="3"/>
      <c r="AL60" s="3"/>
      <c r="AM60" s="3"/>
      <c r="AN60" s="3"/>
      <c r="AO60" s="3"/>
      <c r="AP60" s="3"/>
      <c r="AQ60" s="3"/>
      <c r="AR60" s="2"/>
      <c r="AS60" s="92" t="e">
        <f ca="1">IF(AND('NFR repository'!H60=Params!$I$3,INDIRECT("'NFR repository'!L" &amp; ROW('NFR repository'!A60) &amp; "C" &amp; TEXT(24 + $AS$2,"0"),FALSE)&lt;&gt;""),'NFR repository'!I60,0)</f>
        <v>#REF!</v>
      </c>
      <c r="AT60" s="168" t="e">
        <f ca="1">IF(AND('NFR repository'!H60=Params!$I$3,INDIRECT("'NFR repository'!L" &amp; ROW('NFR repository'!R60) &amp; "C" &amp; TEXT(28 + $AT$2,"0"),FALSE)&lt;&gt;""),'NFR repository'!I60,0)</f>
        <v>#REF!</v>
      </c>
      <c r="AU60" s="168" t="e">
        <f ca="1">IF(AND('NFR repository'!H60=Params!$I$3,INDIRECT("'NFR repository'!L" &amp; ROW('NFR repository'!R60) &amp; "C" &amp; TEXT(32 + $AU$2,"0"),FALSE)&lt;&gt;""),'NFR repository'!I60,0)</f>
        <v>#REF!</v>
      </c>
      <c r="AV60" s="233" t="e">
        <f ca="1">IF(AND('NFR repository'!H60=Params!$I$3,INDIRECT("'NFR repository'!L" &amp; ROW('NFR repository'!R60) &amp; "C" &amp; TEXT(36 + $AV$2,"0"),FALSE)&lt;&gt;""),'NFR repository'!I60,0)</f>
        <v>#REF!</v>
      </c>
      <c r="AW60" s="92">
        <f>IF(AND('NFR repository'!$H60=Params!$I$3,IFERROR(FIND(AW$1,'NFR repository'!$U60)&gt;0,FALSE)),'NFR repository'!$I60,0)</f>
        <v>0</v>
      </c>
      <c r="AX60" s="231">
        <f>IF(AND('NFR repository'!$H60=Params!$I$3,Synthesis!$I$8&lt;&gt;Params!$B$17,IFERROR(FIND(AX$1,'NFR repository'!$U60)&gt;0,FALSE)),'NFR repository'!$I60,0)</f>
        <v>0</v>
      </c>
      <c r="AY60" s="231">
        <f>IF(AND('NFR repository'!$H60=Params!$I$3,IFERROR(FIND(AY$1,'NFR repository'!$U60)&gt;0,FALSE)),'NFR repository'!$I60,0)</f>
        <v>0</v>
      </c>
      <c r="AZ60" s="231">
        <f>IF(AND('NFR repository'!$H60=Params!$I$3,IFERROR(FIND(AZ$1,'NFR repository'!$U60)&gt;0,FALSE)),'NFR repository'!$I60,0)</f>
        <v>0</v>
      </c>
      <c r="BA60" s="231">
        <f>IF(AND('NFR repository'!$H60=Params!$I$3,IFERROR(FIND(BA$1,'NFR repository'!$U60)&gt;0,FALSE)),'NFR repository'!$I60,0)</f>
        <v>0</v>
      </c>
      <c r="BB60" s="231">
        <f>IF(AND('NFR repository'!$H60=Params!$I$3,IFERROR(FIND(BB$1,'NFR repository'!$U60)&gt;0,FALSE)),'NFR repository'!$I60,0)</f>
        <v>0</v>
      </c>
      <c r="BC60" s="231">
        <f>IF(AND('NFR repository'!$H60=Params!$I$3,IFERROR(FIND(BC$1,'NFR repository'!$U60)&gt;0,FALSE)),'NFR repository'!$I60,0)</f>
        <v>0</v>
      </c>
      <c r="BD60" s="231">
        <f>IF(AND('NFR repository'!$H60=Params!$I$3,IFERROR(FIND(BD$1,'NFR repository'!$U60)&gt;0,FALSE)),'NFR repository'!$I60,0)</f>
        <v>0</v>
      </c>
      <c r="BE60" s="93">
        <f>IF(AND('NFR repository'!$H60=Params!$I$3,IFERROR(FIND(BE$1,'NFR repository'!$U60)&gt;0,FALSE)),'NFR repository'!$I60,0)</f>
        <v>0</v>
      </c>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row>
    <row r="61" spans="1:84" ht="120" x14ac:dyDescent="0.25">
      <c r="A61" s="1"/>
      <c r="B61" s="193" t="s">
        <v>325</v>
      </c>
      <c r="C61" s="194" t="s">
        <v>363</v>
      </c>
      <c r="D61" s="36" t="s">
        <v>137</v>
      </c>
      <c r="E61" s="36"/>
      <c r="F61" s="35" t="s">
        <v>589</v>
      </c>
      <c r="G61" s="51" t="s">
        <v>676</v>
      </c>
      <c r="H61" s="35" t="s">
        <v>472</v>
      </c>
      <c r="I61" s="72" t="s">
        <v>41</v>
      </c>
      <c r="J61" s="215"/>
      <c r="K61" s="215"/>
      <c r="L61" s="195"/>
      <c r="M61" s="51" t="s">
        <v>558</v>
      </c>
      <c r="N61" s="51" t="s">
        <v>560</v>
      </c>
      <c r="O61" s="51" t="s">
        <v>577</v>
      </c>
      <c r="P61" s="51" t="s">
        <v>578</v>
      </c>
      <c r="Q61" s="51" t="s">
        <v>151</v>
      </c>
      <c r="R61" s="51" t="s">
        <v>151</v>
      </c>
      <c r="S61" s="35" t="s">
        <v>163</v>
      </c>
      <c r="T61" s="35" t="s">
        <v>46</v>
      </c>
      <c r="U61" s="35" t="s">
        <v>595</v>
      </c>
      <c r="V61" s="35" t="s">
        <v>596</v>
      </c>
      <c r="W61" s="11" t="s">
        <v>128</v>
      </c>
      <c r="X61" s="11" t="s">
        <v>128</v>
      </c>
      <c r="Y61" s="11" t="s">
        <v>128</v>
      </c>
      <c r="Z61" s="11" t="s">
        <v>128</v>
      </c>
      <c r="AA61" s="3"/>
      <c r="AB61" s="3"/>
      <c r="AC61" s="3"/>
      <c r="AD61" s="3"/>
      <c r="AE61" s="3"/>
      <c r="AF61" s="3"/>
      <c r="AG61" s="3"/>
      <c r="AH61" s="3"/>
      <c r="AI61" s="3"/>
      <c r="AJ61" s="3"/>
      <c r="AK61" s="3"/>
      <c r="AL61" s="3"/>
      <c r="AM61" s="3"/>
      <c r="AN61" s="3"/>
      <c r="AO61" s="3"/>
      <c r="AP61" s="3"/>
      <c r="AQ61" s="3"/>
      <c r="AR61" s="2"/>
      <c r="AS61" s="92" t="e">
        <f ca="1">IF(AND('NFR repository'!H61=Params!$I$3,INDIRECT("'NFR repository'!L" &amp; ROW('NFR repository'!A61) &amp; "C" &amp; TEXT(24 + $AS$2,"0"),FALSE)&lt;&gt;""),'NFR repository'!I61,0)</f>
        <v>#REF!</v>
      </c>
      <c r="AT61" s="168" t="e">
        <f ca="1">IF(AND('NFR repository'!H61=Params!$I$3,INDIRECT("'NFR repository'!L" &amp; ROW('NFR repository'!R61) &amp; "C" &amp; TEXT(28 + $AT$2,"0"),FALSE)&lt;&gt;""),'NFR repository'!I61,0)</f>
        <v>#REF!</v>
      </c>
      <c r="AU61" s="168" t="e">
        <f ca="1">IF(AND('NFR repository'!H61=Params!$I$3,INDIRECT("'NFR repository'!L" &amp; ROW('NFR repository'!R61) &amp; "C" &amp; TEXT(32 + $AU$2,"0"),FALSE)&lt;&gt;""),'NFR repository'!I61,0)</f>
        <v>#REF!</v>
      </c>
      <c r="AV61" s="233" t="e">
        <f ca="1">IF(AND('NFR repository'!H61=Params!$I$3,INDIRECT("'NFR repository'!L" &amp; ROW('NFR repository'!R61) &amp; "C" &amp; TEXT(36 + $AV$2,"0"),FALSE)&lt;&gt;""),'NFR repository'!I61,0)</f>
        <v>#REF!</v>
      </c>
      <c r="AW61" s="92">
        <f>IF(AND('NFR repository'!$H61=Params!$I$3,IFERROR(FIND(AW$1,'NFR repository'!$U61)&gt;0,FALSE)),'NFR repository'!$I61,0)</f>
        <v>0</v>
      </c>
      <c r="AX61" s="231">
        <f>IF(AND('NFR repository'!$H61=Params!$I$3,Synthesis!$I$8&lt;&gt;Params!$B$17,IFERROR(FIND(AX$1,'NFR repository'!$U61)&gt;0,FALSE)),'NFR repository'!$I61,0)</f>
        <v>0</v>
      </c>
      <c r="AY61" s="231">
        <f>IF(AND('NFR repository'!$H61=Params!$I$3,IFERROR(FIND(AY$1,'NFR repository'!$U61)&gt;0,FALSE)),'NFR repository'!$I61,0)</f>
        <v>0</v>
      </c>
      <c r="AZ61" s="231">
        <f>IF(AND('NFR repository'!$H61=Params!$I$3,IFERROR(FIND(AZ$1,'NFR repository'!$U61)&gt;0,FALSE)),'NFR repository'!$I61,0)</f>
        <v>0</v>
      </c>
      <c r="BA61" s="231">
        <f>IF(AND('NFR repository'!$H61=Params!$I$3,IFERROR(FIND(BA$1,'NFR repository'!$U61)&gt;0,FALSE)),'NFR repository'!$I61,0)</f>
        <v>0</v>
      </c>
      <c r="BB61" s="231">
        <f>IF(AND('NFR repository'!$H61=Params!$I$3,IFERROR(FIND(BB$1,'NFR repository'!$U61)&gt;0,FALSE)),'NFR repository'!$I61,0)</f>
        <v>0</v>
      </c>
      <c r="BC61" s="231">
        <f>IF(AND('NFR repository'!$H61=Params!$I$3,IFERROR(FIND(BC$1,'NFR repository'!$U61)&gt;0,FALSE)),'NFR repository'!$I61,0)</f>
        <v>0</v>
      </c>
      <c r="BD61" s="231">
        <f>IF(AND('NFR repository'!$H61=Params!$I$3,IFERROR(FIND(BD$1,'NFR repository'!$U61)&gt;0,FALSE)),'NFR repository'!$I61,0)</f>
        <v>0</v>
      </c>
      <c r="BE61" s="93">
        <f>IF(AND('NFR repository'!$H61=Params!$I$3,IFERROR(FIND(BE$1,'NFR repository'!$U61)&gt;0,FALSE)),'NFR repository'!$I61,0)</f>
        <v>0</v>
      </c>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row>
    <row r="62" spans="1:84" ht="75" x14ac:dyDescent="0.25">
      <c r="A62" s="1"/>
      <c r="B62" s="193" t="s">
        <v>438</v>
      </c>
      <c r="C62" s="194" t="s">
        <v>364</v>
      </c>
      <c r="D62" s="36" t="s">
        <v>137</v>
      </c>
      <c r="E62" s="36"/>
      <c r="F62" s="35" t="s">
        <v>682</v>
      </c>
      <c r="G62" s="51" t="s">
        <v>667</v>
      </c>
      <c r="H62" s="35" t="s">
        <v>472</v>
      </c>
      <c r="I62" s="72" t="s">
        <v>41</v>
      </c>
      <c r="J62" s="215"/>
      <c r="K62" s="215"/>
      <c r="L62" s="195"/>
      <c r="M62" s="79" t="s">
        <v>558</v>
      </c>
      <c r="N62" s="79" t="s">
        <v>651</v>
      </c>
      <c r="O62" s="51" t="s">
        <v>578</v>
      </c>
      <c r="P62" s="51" t="s">
        <v>579</v>
      </c>
      <c r="Q62" s="51" t="s">
        <v>156</v>
      </c>
      <c r="R62" s="79" t="s">
        <v>164</v>
      </c>
      <c r="S62" s="35" t="s">
        <v>319</v>
      </c>
      <c r="T62" s="35" t="s">
        <v>46</v>
      </c>
      <c r="U62" s="35" t="s">
        <v>320</v>
      </c>
      <c r="V62" s="35" t="s">
        <v>320</v>
      </c>
      <c r="W62" s="3"/>
      <c r="X62" s="3"/>
      <c r="Y62" s="3"/>
      <c r="Z62" s="3"/>
      <c r="AA62" s="3"/>
      <c r="AB62" s="3"/>
      <c r="AC62" s="3"/>
      <c r="AD62" s="3"/>
      <c r="AE62" s="3"/>
      <c r="AF62" s="3"/>
      <c r="AG62" s="3"/>
      <c r="AH62" s="3"/>
      <c r="AI62" s="3"/>
      <c r="AJ62" s="3"/>
      <c r="AK62" s="3"/>
      <c r="AL62" s="3"/>
      <c r="AM62" s="3"/>
      <c r="AN62" s="3"/>
      <c r="AO62" s="3"/>
      <c r="AP62" s="3"/>
      <c r="AQ62" s="3"/>
      <c r="AR62" s="2"/>
      <c r="AS62" s="92" t="e">
        <f ca="1">IF(AND('NFR repository'!H62=Params!$I$3,INDIRECT("'NFR repository'!L" &amp; ROW('NFR repository'!A62) &amp; "C" &amp; TEXT(24 + $AS$2,"0"),FALSE)&lt;&gt;""),'NFR repository'!I62,0)</f>
        <v>#REF!</v>
      </c>
      <c r="AT62" s="168" t="e">
        <f ca="1">IF(AND('NFR repository'!H62=Params!$I$3,INDIRECT("'NFR repository'!L" &amp; ROW('NFR repository'!R62) &amp; "C" &amp; TEXT(28 + $AT$2,"0"),FALSE)&lt;&gt;""),'NFR repository'!I62,0)</f>
        <v>#REF!</v>
      </c>
      <c r="AU62" s="168" t="e">
        <f ca="1">IF(AND('NFR repository'!H62=Params!$I$3,INDIRECT("'NFR repository'!L" &amp; ROW('NFR repository'!R62) &amp; "C" &amp; TEXT(32 + $AU$2,"0"),FALSE)&lt;&gt;""),'NFR repository'!I62,0)</f>
        <v>#REF!</v>
      </c>
      <c r="AV62" s="233" t="e">
        <f ca="1">IF(AND('NFR repository'!H62=Params!$I$3,INDIRECT("'NFR repository'!L" &amp; ROW('NFR repository'!R62) &amp; "C" &amp; TEXT(36 + $AV$2,"0"),FALSE)&lt;&gt;""),'NFR repository'!I62,0)</f>
        <v>#REF!</v>
      </c>
      <c r="AW62" s="92">
        <f>IF(AND('NFR repository'!$H62=Params!$I$3,IFERROR(FIND(AW$1,'NFR repository'!$U62)&gt;0,FALSE)),'NFR repository'!$I62,0)</f>
        <v>0</v>
      </c>
      <c r="AX62" s="231">
        <f>IF(AND('NFR repository'!$H62=Params!$I$3,Synthesis!$I$8&lt;&gt;Params!$B$17,IFERROR(FIND(AX$1,'NFR repository'!$U62)&gt;0,FALSE)),'NFR repository'!$I62,0)</f>
        <v>0</v>
      </c>
      <c r="AY62" s="231">
        <f>IF(AND('NFR repository'!$H62=Params!$I$3,IFERROR(FIND(AY$1,'NFR repository'!$U62)&gt;0,FALSE)),'NFR repository'!$I62,0)</f>
        <v>0</v>
      </c>
      <c r="AZ62" s="231">
        <f>IF(AND('NFR repository'!$H62=Params!$I$3,IFERROR(FIND(AZ$1,'NFR repository'!$U62)&gt;0,FALSE)),'NFR repository'!$I62,0)</f>
        <v>0</v>
      </c>
      <c r="BA62" s="231">
        <f>IF(AND('NFR repository'!$H62=Params!$I$3,IFERROR(FIND(BA$1,'NFR repository'!$U62)&gt;0,FALSE)),'NFR repository'!$I62,0)</f>
        <v>0</v>
      </c>
      <c r="BB62" s="231">
        <f>IF(AND('NFR repository'!$H62=Params!$I$3,IFERROR(FIND(BB$1,'NFR repository'!$U62)&gt;0,FALSE)),'NFR repository'!$I62,0)</f>
        <v>0</v>
      </c>
      <c r="BC62" s="231">
        <f>IF(AND('NFR repository'!$H62=Params!$I$3,IFERROR(FIND(BC$1,'NFR repository'!$U62)&gt;0,FALSE)),'NFR repository'!$I62,0)</f>
        <v>0</v>
      </c>
      <c r="BD62" s="231">
        <f>IF(AND('NFR repository'!$H62=Params!$I$3,IFERROR(FIND(BD$1,'NFR repository'!$U62)&gt;0,FALSE)),'NFR repository'!$I62,0)</f>
        <v>0</v>
      </c>
      <c r="BE62" s="93">
        <f>IF(AND('NFR repository'!$H62=Params!$I$3,IFERROR(FIND(BE$1,'NFR repository'!$U62)&gt;0,FALSE)),'NFR repository'!$I62,0)</f>
        <v>0</v>
      </c>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row>
    <row r="63" spans="1:84" ht="75" x14ac:dyDescent="0.25">
      <c r="A63" s="1"/>
      <c r="B63" s="193" t="s">
        <v>439</v>
      </c>
      <c r="C63" s="194" t="s">
        <v>365</v>
      </c>
      <c r="D63" s="36" t="s">
        <v>137</v>
      </c>
      <c r="E63" s="36"/>
      <c r="F63" s="35" t="s">
        <v>682</v>
      </c>
      <c r="G63" s="51" t="s">
        <v>668</v>
      </c>
      <c r="H63" s="35" t="s">
        <v>472</v>
      </c>
      <c r="I63" s="72" t="s">
        <v>41</v>
      </c>
      <c r="J63" s="215"/>
      <c r="K63" s="215"/>
      <c r="L63" s="195"/>
      <c r="M63" s="79" t="s">
        <v>139</v>
      </c>
      <c r="N63" s="79" t="s">
        <v>139</v>
      </c>
      <c r="O63" s="51" t="s">
        <v>578</v>
      </c>
      <c r="P63" s="51" t="s">
        <v>579</v>
      </c>
      <c r="Q63" s="51" t="s">
        <v>151</v>
      </c>
      <c r="R63" s="51" t="s">
        <v>652</v>
      </c>
      <c r="S63" s="35" t="s">
        <v>319</v>
      </c>
      <c r="T63" s="35" t="s">
        <v>46</v>
      </c>
      <c r="U63" s="35" t="s">
        <v>320</v>
      </c>
      <c r="V63" s="35" t="s">
        <v>320</v>
      </c>
      <c r="W63" s="3"/>
      <c r="X63" s="3"/>
      <c r="Y63" s="3"/>
      <c r="Z63" s="3"/>
      <c r="AA63" s="3"/>
      <c r="AB63" s="3"/>
      <c r="AC63" s="3"/>
      <c r="AD63" s="3"/>
      <c r="AE63" s="3"/>
      <c r="AF63" s="3"/>
      <c r="AG63" s="3"/>
      <c r="AH63" s="3"/>
      <c r="AI63" s="3"/>
      <c r="AJ63" s="3"/>
      <c r="AK63" s="3"/>
      <c r="AL63" s="3"/>
      <c r="AM63" s="3"/>
      <c r="AN63" s="3"/>
      <c r="AO63" s="3"/>
      <c r="AP63" s="3"/>
      <c r="AQ63" s="3"/>
      <c r="AR63" s="2"/>
      <c r="AS63" s="92" t="e">
        <f ca="1">IF(AND('NFR repository'!H63=Params!$I$3,INDIRECT("'NFR repository'!L" &amp; ROW('NFR repository'!A63) &amp; "C" &amp; TEXT(24 + $AS$2,"0"),FALSE)&lt;&gt;""),'NFR repository'!I63,0)</f>
        <v>#REF!</v>
      </c>
      <c r="AT63" s="168" t="e">
        <f ca="1">IF(AND('NFR repository'!H63=Params!$I$3,INDIRECT("'NFR repository'!L" &amp; ROW('NFR repository'!R63) &amp; "C" &amp; TEXT(28 + $AT$2,"0"),FALSE)&lt;&gt;""),'NFR repository'!I63,0)</f>
        <v>#REF!</v>
      </c>
      <c r="AU63" s="168" t="e">
        <f ca="1">IF(AND('NFR repository'!H63=Params!$I$3,INDIRECT("'NFR repository'!L" &amp; ROW('NFR repository'!R63) &amp; "C" &amp; TEXT(32 + $AU$2,"0"),FALSE)&lt;&gt;""),'NFR repository'!I63,0)</f>
        <v>#REF!</v>
      </c>
      <c r="AV63" s="233" t="e">
        <f ca="1">IF(AND('NFR repository'!H63=Params!$I$3,INDIRECT("'NFR repository'!L" &amp; ROW('NFR repository'!R63) &amp; "C" &amp; TEXT(36 + $AV$2,"0"),FALSE)&lt;&gt;""),'NFR repository'!I63,0)</f>
        <v>#REF!</v>
      </c>
      <c r="AW63" s="92">
        <f>IF(AND('NFR repository'!$H63=Params!$I$3,IFERROR(FIND(AW$1,'NFR repository'!$U63)&gt;0,FALSE)),'NFR repository'!$I63,0)</f>
        <v>0</v>
      </c>
      <c r="AX63" s="231">
        <f>IF(AND('NFR repository'!$H63=Params!$I$3,Synthesis!$I$8&lt;&gt;Params!$B$17,IFERROR(FIND(AX$1,'NFR repository'!$U63)&gt;0,FALSE)),'NFR repository'!$I63,0)</f>
        <v>0</v>
      </c>
      <c r="AY63" s="231">
        <f>IF(AND('NFR repository'!$H63=Params!$I$3,IFERROR(FIND(AY$1,'NFR repository'!$U63)&gt;0,FALSE)),'NFR repository'!$I63,0)</f>
        <v>0</v>
      </c>
      <c r="AZ63" s="231">
        <f>IF(AND('NFR repository'!$H63=Params!$I$3,IFERROR(FIND(AZ$1,'NFR repository'!$U63)&gt;0,FALSE)),'NFR repository'!$I63,0)</f>
        <v>0</v>
      </c>
      <c r="BA63" s="231">
        <f>IF(AND('NFR repository'!$H63=Params!$I$3,IFERROR(FIND(BA$1,'NFR repository'!$U63)&gt;0,FALSE)),'NFR repository'!$I63,0)</f>
        <v>0</v>
      </c>
      <c r="BB63" s="231">
        <f>IF(AND('NFR repository'!$H63=Params!$I$3,IFERROR(FIND(BB$1,'NFR repository'!$U63)&gt;0,FALSE)),'NFR repository'!$I63,0)</f>
        <v>0</v>
      </c>
      <c r="BC63" s="231">
        <f>IF(AND('NFR repository'!$H63=Params!$I$3,IFERROR(FIND(BC$1,'NFR repository'!$U63)&gt;0,FALSE)),'NFR repository'!$I63,0)</f>
        <v>0</v>
      </c>
      <c r="BD63" s="231">
        <f>IF(AND('NFR repository'!$H63=Params!$I$3,IFERROR(FIND(BD$1,'NFR repository'!$U63)&gt;0,FALSE)),'NFR repository'!$I63,0)</f>
        <v>0</v>
      </c>
      <c r="BE63" s="93">
        <f>IF(AND('NFR repository'!$H63=Params!$I$3,IFERROR(FIND(BE$1,'NFR repository'!$U63)&gt;0,FALSE)),'NFR repository'!$I63,0)</f>
        <v>0</v>
      </c>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row>
    <row r="64" spans="1:84" ht="75" x14ac:dyDescent="0.25">
      <c r="A64" s="1"/>
      <c r="B64" s="193" t="s">
        <v>326</v>
      </c>
      <c r="C64" s="194" t="s">
        <v>366</v>
      </c>
      <c r="D64" s="36" t="s">
        <v>137</v>
      </c>
      <c r="E64" s="36" t="s">
        <v>342</v>
      </c>
      <c r="F64" s="35" t="s">
        <v>339</v>
      </c>
      <c r="G64" s="51" t="s">
        <v>669</v>
      </c>
      <c r="H64" s="35" t="s">
        <v>472</v>
      </c>
      <c r="I64" s="72" t="s">
        <v>41</v>
      </c>
      <c r="J64" s="215"/>
      <c r="K64" s="215"/>
      <c r="L64" s="195"/>
      <c r="M64" s="79" t="s">
        <v>558</v>
      </c>
      <c r="N64" s="79" t="s">
        <v>653</v>
      </c>
      <c r="O64" s="51" t="s">
        <v>573</v>
      </c>
      <c r="P64" s="51" t="s">
        <v>576</v>
      </c>
      <c r="Q64" s="51" t="s">
        <v>156</v>
      </c>
      <c r="R64" s="51" t="s">
        <v>340</v>
      </c>
      <c r="S64" s="35" t="s">
        <v>341</v>
      </c>
      <c r="T64" s="35" t="s">
        <v>46</v>
      </c>
      <c r="U64" s="35" t="s">
        <v>320</v>
      </c>
      <c r="V64" s="35" t="s">
        <v>320</v>
      </c>
      <c r="W64" s="3"/>
      <c r="X64" s="3"/>
      <c r="Y64" s="3"/>
      <c r="Z64" s="3"/>
      <c r="AA64" s="3"/>
      <c r="AB64" s="3"/>
      <c r="AC64" s="3"/>
      <c r="AD64" s="3"/>
      <c r="AE64" s="3"/>
      <c r="AF64" s="3"/>
      <c r="AG64" s="3"/>
      <c r="AH64" s="3"/>
      <c r="AI64" s="3"/>
      <c r="AJ64" s="3"/>
      <c r="AK64" s="3"/>
      <c r="AL64" s="3"/>
      <c r="AM64" s="3"/>
      <c r="AN64" s="3"/>
      <c r="AO64" s="3"/>
      <c r="AP64" s="3"/>
      <c r="AQ64" s="3"/>
      <c r="AR64" s="2"/>
      <c r="AS64" s="92" t="e">
        <f ca="1">IF(AND('NFR repository'!H64=Params!$I$3,INDIRECT("'NFR repository'!L" &amp; ROW('NFR repository'!A64) &amp; "C" &amp; TEXT(24 + $AS$2,"0"),FALSE)&lt;&gt;""),'NFR repository'!I64,0)</f>
        <v>#REF!</v>
      </c>
      <c r="AT64" s="168" t="e">
        <f ca="1">IF(AND('NFR repository'!H64=Params!$I$3,INDIRECT("'NFR repository'!L" &amp; ROW('NFR repository'!R64) &amp; "C" &amp; TEXT(28 + $AT$2,"0"),FALSE)&lt;&gt;""),'NFR repository'!I64,0)</f>
        <v>#REF!</v>
      </c>
      <c r="AU64" s="168" t="e">
        <f ca="1">IF(AND('NFR repository'!H64=Params!$I$3,INDIRECT("'NFR repository'!L" &amp; ROW('NFR repository'!R64) &amp; "C" &amp; TEXT(32 + $AU$2,"0"),FALSE)&lt;&gt;""),'NFR repository'!I64,0)</f>
        <v>#REF!</v>
      </c>
      <c r="AV64" s="233" t="e">
        <f ca="1">IF(AND('NFR repository'!H64=Params!$I$3,INDIRECT("'NFR repository'!L" &amp; ROW('NFR repository'!R64) &amp; "C" &amp; TEXT(36 + $AV$2,"0"),FALSE)&lt;&gt;""),'NFR repository'!I64,0)</f>
        <v>#REF!</v>
      </c>
      <c r="AW64" s="92">
        <f>IF(AND('NFR repository'!$H64=Params!$I$3,IFERROR(FIND(AW$1,'NFR repository'!$U64)&gt;0,FALSE)),'NFR repository'!$I64,0)</f>
        <v>0</v>
      </c>
      <c r="AX64" s="231">
        <f>IF(AND('NFR repository'!$H64=Params!$I$3,Synthesis!$I$8&lt;&gt;Params!$B$17,IFERROR(FIND(AX$1,'NFR repository'!$U64)&gt;0,FALSE)),'NFR repository'!$I64,0)</f>
        <v>0</v>
      </c>
      <c r="AY64" s="231">
        <f>IF(AND('NFR repository'!$H64=Params!$I$3,IFERROR(FIND(AY$1,'NFR repository'!$U64)&gt;0,FALSE)),'NFR repository'!$I64,0)</f>
        <v>0</v>
      </c>
      <c r="AZ64" s="231">
        <f>IF(AND('NFR repository'!$H64=Params!$I$3,IFERROR(FIND(AZ$1,'NFR repository'!$U64)&gt;0,FALSE)),'NFR repository'!$I64,0)</f>
        <v>0</v>
      </c>
      <c r="BA64" s="231">
        <f>IF(AND('NFR repository'!$H64=Params!$I$3,IFERROR(FIND(BA$1,'NFR repository'!$U64)&gt;0,FALSE)),'NFR repository'!$I64,0)</f>
        <v>0</v>
      </c>
      <c r="BB64" s="231">
        <f>IF(AND('NFR repository'!$H64=Params!$I$3,IFERROR(FIND(BB$1,'NFR repository'!$U64)&gt;0,FALSE)),'NFR repository'!$I64,0)</f>
        <v>0</v>
      </c>
      <c r="BC64" s="231">
        <f>IF(AND('NFR repository'!$H64=Params!$I$3,IFERROR(FIND(BC$1,'NFR repository'!$U64)&gt;0,FALSE)),'NFR repository'!$I64,0)</f>
        <v>0</v>
      </c>
      <c r="BD64" s="231">
        <f>IF(AND('NFR repository'!$H64=Params!$I$3,IFERROR(FIND(BD$1,'NFR repository'!$U64)&gt;0,FALSE)),'NFR repository'!$I64,0)</f>
        <v>0</v>
      </c>
      <c r="BE64" s="93">
        <f>IF(AND('NFR repository'!$H64=Params!$I$3,IFERROR(FIND(BE$1,'NFR repository'!$U64)&gt;0,FALSE)),'NFR repository'!$I64,0)</f>
        <v>0</v>
      </c>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row>
    <row r="65" spans="1:84" ht="45" x14ac:dyDescent="0.25">
      <c r="A65" s="1"/>
      <c r="B65" s="193" t="s">
        <v>534</v>
      </c>
      <c r="C65" s="194" t="s">
        <v>535</v>
      </c>
      <c r="D65" s="36" t="s">
        <v>137</v>
      </c>
      <c r="E65" s="36"/>
      <c r="F65" s="35" t="s">
        <v>583</v>
      </c>
      <c r="G65" s="78" t="s">
        <v>670</v>
      </c>
      <c r="H65" s="35" t="s">
        <v>472</v>
      </c>
      <c r="I65" s="72" t="s">
        <v>41</v>
      </c>
      <c r="J65" s="215"/>
      <c r="K65" s="215"/>
      <c r="L65" s="195"/>
      <c r="M65" s="79" t="s">
        <v>139</v>
      </c>
      <c r="N65" s="79" t="s">
        <v>139</v>
      </c>
      <c r="O65" s="51" t="s">
        <v>576</v>
      </c>
      <c r="P65" s="51" t="s">
        <v>579</v>
      </c>
      <c r="Q65" s="51" t="s">
        <v>151</v>
      </c>
      <c r="R65" s="51" t="s">
        <v>652</v>
      </c>
      <c r="S65" s="35" t="s">
        <v>536</v>
      </c>
      <c r="T65" s="35" t="s">
        <v>46</v>
      </c>
      <c r="U65" s="35" t="s">
        <v>591</v>
      </c>
      <c r="V65" s="35" t="s">
        <v>591</v>
      </c>
      <c r="W65" s="3"/>
      <c r="X65" s="3"/>
      <c r="Y65" s="3"/>
      <c r="Z65" s="3"/>
      <c r="AA65" s="3"/>
      <c r="AB65" s="3"/>
      <c r="AC65" s="3"/>
      <c r="AD65" s="3"/>
      <c r="AE65" s="3"/>
      <c r="AF65" s="3"/>
      <c r="AG65" s="3"/>
      <c r="AH65" s="3"/>
      <c r="AI65" s="3"/>
      <c r="AJ65" s="3"/>
      <c r="AK65" s="3"/>
      <c r="AL65" s="3"/>
      <c r="AM65" s="3"/>
      <c r="AN65" s="3"/>
      <c r="AO65" s="3"/>
      <c r="AP65" s="3"/>
      <c r="AQ65" s="3"/>
      <c r="AR65" s="2"/>
      <c r="AS65" s="92" t="e">
        <f ca="1">IF(AND('NFR repository'!H65=Params!$I$3,INDIRECT("'NFR repository'!L" &amp; ROW('NFR repository'!A65) &amp; "C" &amp; TEXT(24 + $AS$2,"0"),FALSE)&lt;&gt;""),'NFR repository'!I65,0)</f>
        <v>#REF!</v>
      </c>
      <c r="AT65" s="168" t="e">
        <f ca="1">IF(AND('NFR repository'!H65=Params!$I$3,INDIRECT("'NFR repository'!L" &amp; ROW('NFR repository'!R65) &amp; "C" &amp; TEXT(28 + $AT$2,"0"),FALSE)&lt;&gt;""),'NFR repository'!I65,0)</f>
        <v>#REF!</v>
      </c>
      <c r="AU65" s="168" t="e">
        <f ca="1">IF(AND('NFR repository'!H65=Params!$I$3,INDIRECT("'NFR repository'!L" &amp; ROW('NFR repository'!R65) &amp; "C" &amp; TEXT(32 + $AU$2,"0"),FALSE)&lt;&gt;""),'NFR repository'!I65,0)</f>
        <v>#REF!</v>
      </c>
      <c r="AV65" s="233" t="e">
        <f ca="1">IF(AND('NFR repository'!H65=Params!$I$3,INDIRECT("'NFR repository'!L" &amp; ROW('NFR repository'!R65) &amp; "C" &amp; TEXT(36 + $AV$2,"0"),FALSE)&lt;&gt;""),'NFR repository'!I65,0)</f>
        <v>#REF!</v>
      </c>
      <c r="AW65" s="92">
        <f>IF(AND('NFR repository'!$H65=Params!$I$3,IFERROR(FIND(AW$1,'NFR repository'!$U65)&gt;0,FALSE)),'NFR repository'!$I65,0)</f>
        <v>0</v>
      </c>
      <c r="AX65" s="231">
        <f>IF(AND('NFR repository'!$H65=Params!$I$3,Synthesis!$I$8&lt;&gt;Params!$B$17,IFERROR(FIND(AX$1,'NFR repository'!$U65)&gt;0,FALSE)),'NFR repository'!$I65,0)</f>
        <v>0</v>
      </c>
      <c r="AY65" s="231">
        <f>IF(AND('NFR repository'!$H65=Params!$I$3,IFERROR(FIND(AY$1,'NFR repository'!$U65)&gt;0,FALSE)),'NFR repository'!$I65,0)</f>
        <v>0</v>
      </c>
      <c r="AZ65" s="231">
        <f>IF(AND('NFR repository'!$H65=Params!$I$3,IFERROR(FIND(AZ$1,'NFR repository'!$U65)&gt;0,FALSE)),'NFR repository'!$I65,0)</f>
        <v>0</v>
      </c>
      <c r="BA65" s="231">
        <f>IF(AND('NFR repository'!$H65=Params!$I$3,IFERROR(FIND(BA$1,'NFR repository'!$U65)&gt;0,FALSE)),'NFR repository'!$I65,0)</f>
        <v>0</v>
      </c>
      <c r="BB65" s="231">
        <f>IF(AND('NFR repository'!$H65=Params!$I$3,IFERROR(FIND(BB$1,'NFR repository'!$U65)&gt;0,FALSE)),'NFR repository'!$I65,0)</f>
        <v>0</v>
      </c>
      <c r="BC65" s="231">
        <f>IF(AND('NFR repository'!$H65=Params!$I$3,IFERROR(FIND(BC$1,'NFR repository'!$U65)&gt;0,FALSE)),'NFR repository'!$I65,0)</f>
        <v>0</v>
      </c>
      <c r="BD65" s="231">
        <f>IF(AND('NFR repository'!$H65=Params!$I$3,IFERROR(FIND(BD$1,'NFR repository'!$U65)&gt;0,FALSE)),'NFR repository'!$I65,0)</f>
        <v>0</v>
      </c>
      <c r="BE65" s="93">
        <f>IF(AND('NFR repository'!$H65=Params!$I$3,IFERROR(FIND(BE$1,'NFR repository'!$U65)&gt;0,FALSE)),'NFR repository'!$I65,0)</f>
        <v>0</v>
      </c>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row>
    <row r="66" spans="1:84" ht="15.75" x14ac:dyDescent="0.25">
      <c r="A66" s="1"/>
      <c r="B66" s="52" t="s">
        <v>78</v>
      </c>
      <c r="C66" s="39" t="s">
        <v>57</v>
      </c>
      <c r="D66" s="82"/>
      <c r="E66" s="82"/>
      <c r="F66" s="4"/>
      <c r="G66" s="77"/>
      <c r="H66" s="4"/>
      <c r="I66" s="49"/>
      <c r="J66" s="213"/>
      <c r="K66" s="213"/>
      <c r="L66" s="189"/>
      <c r="M66" s="76"/>
      <c r="N66" s="76"/>
      <c r="O66" s="77"/>
      <c r="P66" s="77"/>
      <c r="Q66" s="77"/>
      <c r="R66" s="77"/>
      <c r="S66" s="4"/>
      <c r="T66" s="4"/>
      <c r="U66" s="4"/>
      <c r="V66" s="4"/>
      <c r="W66" s="4"/>
      <c r="X66" s="4"/>
      <c r="Y66" s="4"/>
      <c r="Z66" s="4"/>
      <c r="AA66" s="4"/>
      <c r="AB66" s="4"/>
      <c r="AC66" s="4"/>
      <c r="AD66" s="4"/>
      <c r="AE66" s="4"/>
      <c r="AF66" s="4"/>
      <c r="AG66" s="4"/>
      <c r="AH66" s="4"/>
      <c r="AI66" s="4"/>
      <c r="AJ66" s="4"/>
      <c r="AK66" s="4"/>
      <c r="AL66" s="4"/>
      <c r="AM66" s="4"/>
      <c r="AN66" s="4"/>
      <c r="AO66" s="4"/>
      <c r="AP66" s="4"/>
      <c r="AQ66" s="4"/>
      <c r="AR66" s="2"/>
      <c r="AS66" s="92" t="e">
        <f ca="1">IF(AND('NFR repository'!H66=Params!$I$3,INDIRECT("'NFR repository'!L" &amp; ROW('NFR repository'!A66) &amp; "C" &amp; TEXT(24 + $AS$2,"0"),FALSE)&lt;&gt;""),'NFR repository'!I66,0)</f>
        <v>#REF!</v>
      </c>
      <c r="AT66" s="168" t="e">
        <f ca="1">IF(AND('NFR repository'!H66=Params!$I$3,INDIRECT("'NFR repository'!L" &amp; ROW('NFR repository'!R66) &amp; "C" &amp; TEXT(28 + $AT$2,"0"),FALSE)&lt;&gt;""),'NFR repository'!I66,0)</f>
        <v>#REF!</v>
      </c>
      <c r="AU66" s="168" t="e">
        <f ca="1">IF(AND('NFR repository'!H66=Params!$I$3,INDIRECT("'NFR repository'!L" &amp; ROW('NFR repository'!R66) &amp; "C" &amp; TEXT(32 + $AU$2,"0"),FALSE)&lt;&gt;""),'NFR repository'!I66,0)</f>
        <v>#REF!</v>
      </c>
      <c r="AV66" s="233" t="e">
        <f ca="1">IF(AND('NFR repository'!H66=Params!$I$3,INDIRECT("'NFR repository'!L" &amp; ROW('NFR repository'!R66) &amp; "C" &amp; TEXT(36 + $AV$2,"0"),FALSE)&lt;&gt;""),'NFR repository'!I66,0)</f>
        <v>#REF!</v>
      </c>
      <c r="AW66" s="92">
        <f>IF(AND('NFR repository'!$H66=Params!$I$3,IFERROR(FIND(AW$1,'NFR repository'!$U66)&gt;0,FALSE)),'NFR repository'!$I66,0)</f>
        <v>0</v>
      </c>
      <c r="AX66" s="231">
        <f>IF(AND('NFR repository'!$H66=Params!$I$3,Synthesis!$I$8&lt;&gt;Params!$B$17,IFERROR(FIND(AX$1,'NFR repository'!$U66)&gt;0,FALSE)),'NFR repository'!$I66,0)</f>
        <v>0</v>
      </c>
      <c r="AY66" s="231">
        <f>IF(AND('NFR repository'!$H66=Params!$I$3,IFERROR(FIND(AY$1,'NFR repository'!$U66)&gt;0,FALSE)),'NFR repository'!$I66,0)</f>
        <v>0</v>
      </c>
      <c r="AZ66" s="231">
        <f>IF(AND('NFR repository'!$H66=Params!$I$3,IFERROR(FIND(AZ$1,'NFR repository'!$U66)&gt;0,FALSE)),'NFR repository'!$I66,0)</f>
        <v>0</v>
      </c>
      <c r="BA66" s="231">
        <f>IF(AND('NFR repository'!$H66=Params!$I$3,IFERROR(FIND(BA$1,'NFR repository'!$U66)&gt;0,FALSE)),'NFR repository'!$I66,0)</f>
        <v>0</v>
      </c>
      <c r="BB66" s="231">
        <f>IF(AND('NFR repository'!$H66=Params!$I$3,IFERROR(FIND(BB$1,'NFR repository'!$U66)&gt;0,FALSE)),'NFR repository'!$I66,0)</f>
        <v>0</v>
      </c>
      <c r="BC66" s="231">
        <f>IF(AND('NFR repository'!$H66=Params!$I$3,IFERROR(FIND(BC$1,'NFR repository'!$U66)&gt;0,FALSE)),'NFR repository'!$I66,0)</f>
        <v>0</v>
      </c>
      <c r="BD66" s="231">
        <f>IF(AND('NFR repository'!$H66=Params!$I$3,IFERROR(FIND(BD$1,'NFR repository'!$U66)&gt;0,FALSE)),'NFR repository'!$I66,0)</f>
        <v>0</v>
      </c>
      <c r="BE66" s="93">
        <f>IF(AND('NFR repository'!$H66=Params!$I$3,IFERROR(FIND(BE$1,'NFR repository'!$U66)&gt;0,FALSE)),'NFR repository'!$I66,0)</f>
        <v>0</v>
      </c>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row>
    <row r="67" spans="1:84" ht="45" x14ac:dyDescent="0.25">
      <c r="A67" s="1"/>
      <c r="B67" s="193" t="s">
        <v>221</v>
      </c>
      <c r="C67" s="194" t="s">
        <v>533</v>
      </c>
      <c r="D67" s="36" t="s">
        <v>137</v>
      </c>
      <c r="E67" s="36"/>
      <c r="F67" s="35" t="s">
        <v>583</v>
      </c>
      <c r="G67" s="51" t="s">
        <v>583</v>
      </c>
      <c r="H67" s="35" t="s">
        <v>472</v>
      </c>
      <c r="I67" s="72" t="s">
        <v>41</v>
      </c>
      <c r="J67" s="215"/>
      <c r="K67" s="215"/>
      <c r="L67" s="195"/>
      <c r="M67" s="80" t="s">
        <v>139</v>
      </c>
      <c r="N67" s="80" t="s">
        <v>139</v>
      </c>
      <c r="O67" s="51" t="s">
        <v>576</v>
      </c>
      <c r="P67" s="51" t="s">
        <v>577</v>
      </c>
      <c r="Q67" s="51" t="s">
        <v>151</v>
      </c>
      <c r="R67" s="51" t="s">
        <v>151</v>
      </c>
      <c r="S67" s="35" t="s">
        <v>152</v>
      </c>
      <c r="T67" s="35" t="s">
        <v>46</v>
      </c>
      <c r="U67" s="35" t="s">
        <v>715</v>
      </c>
      <c r="V67" s="35" t="s">
        <v>591</v>
      </c>
      <c r="W67" s="3" t="s">
        <v>128</v>
      </c>
      <c r="X67" s="3" t="s">
        <v>128</v>
      </c>
      <c r="Y67" s="3" t="s">
        <v>128</v>
      </c>
      <c r="Z67" s="3" t="s">
        <v>128</v>
      </c>
      <c r="AA67" s="3"/>
      <c r="AB67" s="3"/>
      <c r="AC67" s="3"/>
      <c r="AD67" s="3"/>
      <c r="AE67" s="3"/>
      <c r="AF67" s="3"/>
      <c r="AG67" s="3"/>
      <c r="AH67" s="3"/>
      <c r="AI67" s="3"/>
      <c r="AJ67" s="3"/>
      <c r="AK67" s="3"/>
      <c r="AL67" s="3"/>
      <c r="AM67" s="3"/>
      <c r="AN67" s="3"/>
      <c r="AO67" s="3"/>
      <c r="AP67" s="3"/>
      <c r="AQ67" s="3"/>
      <c r="AR67" s="2"/>
      <c r="AS67" s="92" t="e">
        <f ca="1">IF(AND('NFR repository'!H67=Params!$I$3,INDIRECT("'NFR repository'!L" &amp; ROW('NFR repository'!A67) &amp; "C" &amp; TEXT(24 + $AS$2,"0"),FALSE)&lt;&gt;""),'NFR repository'!I67,0)</f>
        <v>#REF!</v>
      </c>
      <c r="AT67" s="168" t="e">
        <f ca="1">IF(AND('NFR repository'!H67=Params!$I$3,INDIRECT("'NFR repository'!L" &amp; ROW('NFR repository'!R67) &amp; "C" &amp; TEXT(28 + $AT$2,"0"),FALSE)&lt;&gt;""),'NFR repository'!I67,0)</f>
        <v>#REF!</v>
      </c>
      <c r="AU67" s="168" t="e">
        <f ca="1">IF(AND('NFR repository'!H67=Params!$I$3,INDIRECT("'NFR repository'!L" &amp; ROW('NFR repository'!R67) &amp; "C" &amp; TEXT(32 + $AU$2,"0"),FALSE)&lt;&gt;""),'NFR repository'!I67,0)</f>
        <v>#REF!</v>
      </c>
      <c r="AV67" s="233" t="e">
        <f ca="1">IF(AND('NFR repository'!H67=Params!$I$3,INDIRECT("'NFR repository'!L" &amp; ROW('NFR repository'!R67) &amp; "C" &amp; TEXT(36 + $AV$2,"0"),FALSE)&lt;&gt;""),'NFR repository'!I67,0)</f>
        <v>#REF!</v>
      </c>
      <c r="AW67" s="92">
        <f>IF(AND('NFR repository'!$H67=Params!$I$3,IFERROR(FIND(AW$1,'NFR repository'!$U67)&gt;0,FALSE)),'NFR repository'!$I67,0)</f>
        <v>0</v>
      </c>
      <c r="AX67" s="231">
        <f>IF(AND('NFR repository'!$H67=Params!$I$3,Synthesis!$I$8&lt;&gt;Params!$B$17,IFERROR(FIND(AX$1,'NFR repository'!$U67)&gt;0,FALSE)),'NFR repository'!$I67,0)</f>
        <v>0</v>
      </c>
      <c r="AY67" s="231">
        <f>IF(AND('NFR repository'!$H67=Params!$I$3,IFERROR(FIND(AY$1,'NFR repository'!$U67)&gt;0,FALSE)),'NFR repository'!$I67,0)</f>
        <v>0</v>
      </c>
      <c r="AZ67" s="231">
        <f>IF(AND('NFR repository'!$H67=Params!$I$3,IFERROR(FIND(AZ$1,'NFR repository'!$U67)&gt;0,FALSE)),'NFR repository'!$I67,0)</f>
        <v>0</v>
      </c>
      <c r="BA67" s="231">
        <f>IF(AND('NFR repository'!$H67=Params!$I$3,IFERROR(FIND(BA$1,'NFR repository'!$U67)&gt;0,FALSE)),'NFR repository'!$I67,0)</f>
        <v>0</v>
      </c>
      <c r="BB67" s="231">
        <f>IF(AND('NFR repository'!$H67=Params!$I$3,IFERROR(FIND(BB$1,'NFR repository'!$U67)&gt;0,FALSE)),'NFR repository'!$I67,0)</f>
        <v>0</v>
      </c>
      <c r="BC67" s="231">
        <f>IF(AND('NFR repository'!$H67=Params!$I$3,IFERROR(FIND(BC$1,'NFR repository'!$U67)&gt;0,FALSE)),'NFR repository'!$I67,0)</f>
        <v>0</v>
      </c>
      <c r="BD67" s="231">
        <f>IF(AND('NFR repository'!$H67=Params!$I$3,IFERROR(FIND(BD$1,'NFR repository'!$U67)&gt;0,FALSE)),'NFR repository'!$I67,0)</f>
        <v>0</v>
      </c>
      <c r="BE67" s="93">
        <f>IF(AND('NFR repository'!$H67=Params!$I$3,IFERROR(FIND(BE$1,'NFR repository'!$U67)&gt;0,FALSE)),'NFR repository'!$I67,0)</f>
        <v>0</v>
      </c>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row>
    <row r="68" spans="1:84" ht="75" x14ac:dyDescent="0.25">
      <c r="A68" s="1"/>
      <c r="B68" s="193" t="s">
        <v>222</v>
      </c>
      <c r="C68" s="194" t="s">
        <v>367</v>
      </c>
      <c r="D68" s="83" t="s">
        <v>772</v>
      </c>
      <c r="E68" s="84"/>
      <c r="F68" s="38" t="s">
        <v>183</v>
      </c>
      <c r="G68" s="51" t="s">
        <v>747</v>
      </c>
      <c r="H68" s="35" t="s">
        <v>472</v>
      </c>
      <c r="I68" s="72" t="s">
        <v>41</v>
      </c>
      <c r="J68" s="215"/>
      <c r="K68" s="215"/>
      <c r="L68" s="195"/>
      <c r="M68" s="79" t="s">
        <v>558</v>
      </c>
      <c r="N68" s="51" t="s">
        <v>564</v>
      </c>
      <c r="O68" s="51" t="s">
        <v>574</v>
      </c>
      <c r="P68" s="51" t="s">
        <v>577</v>
      </c>
      <c r="Q68" s="51" t="s">
        <v>156</v>
      </c>
      <c r="R68" s="51" t="s">
        <v>475</v>
      </c>
      <c r="S68" s="35" t="s">
        <v>153</v>
      </c>
      <c r="T68" s="35" t="s">
        <v>46</v>
      </c>
      <c r="U68" s="35" t="s">
        <v>184</v>
      </c>
      <c r="V68" s="38" t="s">
        <v>146</v>
      </c>
      <c r="W68" s="3"/>
      <c r="X68" s="3"/>
      <c r="Y68" s="3" t="s">
        <v>128</v>
      </c>
      <c r="Z68" s="3" t="s">
        <v>128</v>
      </c>
      <c r="AA68" s="3"/>
      <c r="AB68" s="3"/>
      <c r="AC68" s="3"/>
      <c r="AD68" s="3"/>
      <c r="AE68" s="3"/>
      <c r="AF68" s="3"/>
      <c r="AG68" s="3"/>
      <c r="AH68" s="3"/>
      <c r="AI68" s="3"/>
      <c r="AJ68" s="3"/>
      <c r="AK68" s="3"/>
      <c r="AL68" s="3"/>
      <c r="AM68" s="3"/>
      <c r="AN68" s="3"/>
      <c r="AO68" s="3"/>
      <c r="AP68" s="3"/>
      <c r="AQ68" s="3"/>
      <c r="AR68" s="2"/>
      <c r="AS68" s="92" t="e">
        <f ca="1">IF(AND('NFR repository'!H68=Params!$I$3,INDIRECT("'NFR repository'!L" &amp; ROW('NFR repository'!A68) &amp; "C" &amp; TEXT(24 + $AS$2,"0"),FALSE)&lt;&gt;""),'NFR repository'!I68,0)</f>
        <v>#REF!</v>
      </c>
      <c r="AT68" s="168" t="e">
        <f ca="1">IF(AND('NFR repository'!H68=Params!$I$3,INDIRECT("'NFR repository'!L" &amp; ROW('NFR repository'!R68) &amp; "C" &amp; TEXT(28 + $AT$2,"0"),FALSE)&lt;&gt;""),'NFR repository'!I68,0)</f>
        <v>#REF!</v>
      </c>
      <c r="AU68" s="168" t="e">
        <f ca="1">IF(AND('NFR repository'!H68=Params!$I$3,INDIRECT("'NFR repository'!L" &amp; ROW('NFR repository'!R68) &amp; "C" &amp; TEXT(32 + $AU$2,"0"),FALSE)&lt;&gt;""),'NFR repository'!I68,0)</f>
        <v>#REF!</v>
      </c>
      <c r="AV68" s="233" t="e">
        <f ca="1">IF(AND('NFR repository'!H68=Params!$I$3,INDIRECT("'NFR repository'!L" &amp; ROW('NFR repository'!R68) &amp; "C" &amp; TEXT(36 + $AV$2,"0"),FALSE)&lt;&gt;""),'NFR repository'!I68,0)</f>
        <v>#REF!</v>
      </c>
      <c r="AW68" s="92">
        <f>IF(AND('NFR repository'!$H68=Params!$I$3,IFERROR(FIND(AW$1,'NFR repository'!$U68)&gt;0,FALSE)),'NFR repository'!$I68,0)</f>
        <v>0</v>
      </c>
      <c r="AX68" s="231">
        <f>IF(AND('NFR repository'!$H68=Params!$I$3,Synthesis!$I$8&lt;&gt;Params!$B$17,IFERROR(FIND(AX$1,'NFR repository'!$U68)&gt;0,FALSE)),'NFR repository'!$I68,0)</f>
        <v>0</v>
      </c>
      <c r="AY68" s="231">
        <f>IF(AND('NFR repository'!$H68=Params!$I$3,IFERROR(FIND(AY$1,'NFR repository'!$U68)&gt;0,FALSE)),'NFR repository'!$I68,0)</f>
        <v>0</v>
      </c>
      <c r="AZ68" s="231">
        <f>IF(AND('NFR repository'!$H68=Params!$I$3,IFERROR(FIND(AZ$1,'NFR repository'!$U68)&gt;0,FALSE)),'NFR repository'!$I68,0)</f>
        <v>0</v>
      </c>
      <c r="BA68" s="231">
        <f>IF(AND('NFR repository'!$H68=Params!$I$3,IFERROR(FIND(BA$1,'NFR repository'!$U68)&gt;0,FALSE)),'NFR repository'!$I68,0)</f>
        <v>0</v>
      </c>
      <c r="BB68" s="231">
        <f>IF(AND('NFR repository'!$H68=Params!$I$3,IFERROR(FIND(BB$1,'NFR repository'!$U68)&gt;0,FALSE)),'NFR repository'!$I68,0)</f>
        <v>0</v>
      </c>
      <c r="BC68" s="231">
        <f>IF(AND('NFR repository'!$H68=Params!$I$3,IFERROR(FIND(BC$1,'NFR repository'!$U68)&gt;0,FALSE)),'NFR repository'!$I68,0)</f>
        <v>0</v>
      </c>
      <c r="BD68" s="231">
        <f>IF(AND('NFR repository'!$H68=Params!$I$3,IFERROR(FIND(BD$1,'NFR repository'!$U68)&gt;0,FALSE)),'NFR repository'!$I68,0)</f>
        <v>0</v>
      </c>
      <c r="BE68" s="93">
        <f>IF(AND('NFR repository'!$H68=Params!$I$3,IFERROR(FIND(BE$1,'NFR repository'!$U68)&gt;0,FALSE)),'NFR repository'!$I68,0)</f>
        <v>0</v>
      </c>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row>
    <row r="69" spans="1:84" ht="30" x14ac:dyDescent="0.25">
      <c r="A69" s="1"/>
      <c r="B69" s="193" t="s">
        <v>440</v>
      </c>
      <c r="C69" s="194" t="s">
        <v>368</v>
      </c>
      <c r="D69" s="36" t="s">
        <v>137</v>
      </c>
      <c r="E69" s="36"/>
      <c r="F69" s="38" t="s">
        <v>140</v>
      </c>
      <c r="G69" s="78" t="s">
        <v>569</v>
      </c>
      <c r="H69" s="35" t="s">
        <v>472</v>
      </c>
      <c r="I69" s="37" t="s">
        <v>41</v>
      </c>
      <c r="J69" s="215"/>
      <c r="K69" s="215"/>
      <c r="L69" s="195"/>
      <c r="M69" s="79" t="s">
        <v>558</v>
      </c>
      <c r="N69" s="79" t="s">
        <v>563</v>
      </c>
      <c r="O69" s="51" t="s">
        <v>578</v>
      </c>
      <c r="P69" s="51" t="s">
        <v>578</v>
      </c>
      <c r="Q69" s="51" t="s">
        <v>156</v>
      </c>
      <c r="R69" s="51" t="s">
        <v>475</v>
      </c>
      <c r="S69" s="35" t="s">
        <v>277</v>
      </c>
      <c r="T69" s="35" t="s">
        <v>46</v>
      </c>
      <c r="U69" s="35" t="s">
        <v>11</v>
      </c>
      <c r="V69" s="38" t="s">
        <v>146</v>
      </c>
      <c r="W69" s="3"/>
      <c r="X69" s="3"/>
      <c r="Y69" s="3"/>
      <c r="Z69" s="3" t="s">
        <v>128</v>
      </c>
      <c r="AA69" s="3"/>
      <c r="AB69" s="3"/>
      <c r="AC69" s="3"/>
      <c r="AD69" s="3"/>
      <c r="AE69" s="3"/>
      <c r="AF69" s="3"/>
      <c r="AG69" s="3"/>
      <c r="AH69" s="3"/>
      <c r="AI69" s="3"/>
      <c r="AJ69" s="3"/>
      <c r="AK69" s="3"/>
      <c r="AL69" s="3"/>
      <c r="AM69" s="3"/>
      <c r="AN69" s="3"/>
      <c r="AO69" s="3"/>
      <c r="AP69" s="3"/>
      <c r="AQ69" s="3"/>
      <c r="AR69" s="2"/>
      <c r="AS69" s="92" t="e">
        <f ca="1">IF(AND('NFR repository'!H69=Params!$I$3,INDIRECT("'NFR repository'!L" &amp; ROW('NFR repository'!A69) &amp; "C" &amp; TEXT(24 + $AS$2,"0"),FALSE)&lt;&gt;""),'NFR repository'!I69,0)</f>
        <v>#REF!</v>
      </c>
      <c r="AT69" s="168" t="e">
        <f ca="1">IF(AND('NFR repository'!H69=Params!$I$3,INDIRECT("'NFR repository'!L" &amp; ROW('NFR repository'!R69) &amp; "C" &amp; TEXT(28 + $AT$2,"0"),FALSE)&lt;&gt;""),'NFR repository'!I69,0)</f>
        <v>#REF!</v>
      </c>
      <c r="AU69" s="168" t="e">
        <f ca="1">IF(AND('NFR repository'!H69=Params!$I$3,INDIRECT("'NFR repository'!L" &amp; ROW('NFR repository'!R69) &amp; "C" &amp; TEXT(32 + $AU$2,"0"),FALSE)&lt;&gt;""),'NFR repository'!I69,0)</f>
        <v>#REF!</v>
      </c>
      <c r="AV69" s="233" t="e">
        <f ca="1">IF(AND('NFR repository'!H69=Params!$I$3,INDIRECT("'NFR repository'!L" &amp; ROW('NFR repository'!R69) &amp; "C" &amp; TEXT(36 + $AV$2,"0"),FALSE)&lt;&gt;""),'NFR repository'!I69,0)</f>
        <v>#REF!</v>
      </c>
      <c r="AW69" s="92">
        <f>IF(AND('NFR repository'!$H69=Params!$I$3,IFERROR(FIND(AW$1,'NFR repository'!$U69)&gt;0,FALSE)),'NFR repository'!$I69,0)</f>
        <v>0</v>
      </c>
      <c r="AX69" s="231">
        <f>IF(AND('NFR repository'!$H69=Params!$I$3,Synthesis!$I$8&lt;&gt;Params!$B$17,IFERROR(FIND(AX$1,'NFR repository'!$U69)&gt;0,FALSE)),'NFR repository'!$I69,0)</f>
        <v>0</v>
      </c>
      <c r="AY69" s="231">
        <f>IF(AND('NFR repository'!$H69=Params!$I$3,IFERROR(FIND(AY$1,'NFR repository'!$U69)&gt;0,FALSE)),'NFR repository'!$I69,0)</f>
        <v>0</v>
      </c>
      <c r="AZ69" s="231">
        <f>IF(AND('NFR repository'!$H69=Params!$I$3,IFERROR(FIND(AZ$1,'NFR repository'!$U69)&gt;0,FALSE)),'NFR repository'!$I69,0)</f>
        <v>0</v>
      </c>
      <c r="BA69" s="231">
        <f>IF(AND('NFR repository'!$H69=Params!$I$3,IFERROR(FIND(BA$1,'NFR repository'!$U69)&gt;0,FALSE)),'NFR repository'!$I69,0)</f>
        <v>0</v>
      </c>
      <c r="BB69" s="231">
        <f>IF(AND('NFR repository'!$H69=Params!$I$3,IFERROR(FIND(BB$1,'NFR repository'!$U69)&gt;0,FALSE)),'NFR repository'!$I69,0)</f>
        <v>0</v>
      </c>
      <c r="BC69" s="231">
        <f>IF(AND('NFR repository'!$H69=Params!$I$3,IFERROR(FIND(BC$1,'NFR repository'!$U69)&gt;0,FALSE)),'NFR repository'!$I69,0)</f>
        <v>0</v>
      </c>
      <c r="BD69" s="231">
        <f>IF(AND('NFR repository'!$H69=Params!$I$3,IFERROR(FIND(BD$1,'NFR repository'!$U69)&gt;0,FALSE)),'NFR repository'!$I69,0)</f>
        <v>0</v>
      </c>
      <c r="BE69" s="93">
        <f>IF(AND('NFR repository'!$H69=Params!$I$3,IFERROR(FIND(BE$1,'NFR repository'!$U69)&gt;0,FALSE)),'NFR repository'!$I69,0)</f>
        <v>0</v>
      </c>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row>
    <row r="70" spans="1:84" ht="30" x14ac:dyDescent="0.25">
      <c r="A70" s="1"/>
      <c r="B70" s="193" t="s">
        <v>441</v>
      </c>
      <c r="C70" s="204" t="s">
        <v>485</v>
      </c>
      <c r="D70" s="36" t="s">
        <v>137</v>
      </c>
      <c r="E70" s="36"/>
      <c r="F70" s="38" t="s">
        <v>140</v>
      </c>
      <c r="G70" s="78" t="s">
        <v>671</v>
      </c>
      <c r="H70" s="35" t="s">
        <v>472</v>
      </c>
      <c r="I70" s="37" t="s">
        <v>41</v>
      </c>
      <c r="J70" s="215"/>
      <c r="K70" s="215"/>
      <c r="L70" s="195"/>
      <c r="M70" s="79" t="s">
        <v>558</v>
      </c>
      <c r="N70" s="80" t="s">
        <v>654</v>
      </c>
      <c r="O70" s="51" t="s">
        <v>578</v>
      </c>
      <c r="P70" s="51" t="s">
        <v>578</v>
      </c>
      <c r="Q70" s="51" t="s">
        <v>156</v>
      </c>
      <c r="R70" s="80" t="s">
        <v>280</v>
      </c>
      <c r="S70" s="35" t="s">
        <v>277</v>
      </c>
      <c r="T70" s="35" t="s">
        <v>46</v>
      </c>
      <c r="U70" s="35" t="s">
        <v>11</v>
      </c>
      <c r="V70" s="38" t="s">
        <v>146</v>
      </c>
      <c r="W70" s="3"/>
      <c r="X70" s="3"/>
      <c r="Y70" s="3"/>
      <c r="Z70" s="3" t="s">
        <v>128</v>
      </c>
      <c r="AA70" s="3"/>
      <c r="AB70" s="3"/>
      <c r="AC70" s="3"/>
      <c r="AD70" s="3"/>
      <c r="AE70" s="3"/>
      <c r="AF70" s="3"/>
      <c r="AG70" s="3"/>
      <c r="AH70" s="3"/>
      <c r="AI70" s="3"/>
      <c r="AJ70" s="3"/>
      <c r="AK70" s="3"/>
      <c r="AL70" s="3"/>
      <c r="AM70" s="3"/>
      <c r="AN70" s="3"/>
      <c r="AO70" s="3"/>
      <c r="AP70" s="3"/>
      <c r="AQ70" s="3"/>
      <c r="AR70" s="2"/>
      <c r="AS70" s="92" t="e">
        <f ca="1">IF(AND('NFR repository'!H70=Params!$I$3,INDIRECT("'NFR repository'!L" &amp; ROW('NFR repository'!A70) &amp; "C" &amp; TEXT(24 + $AS$2,"0"),FALSE)&lt;&gt;""),'NFR repository'!I70,0)</f>
        <v>#REF!</v>
      </c>
      <c r="AT70" s="168" t="e">
        <f ca="1">IF(AND('NFR repository'!H70=Params!$I$3,INDIRECT("'NFR repository'!L" &amp; ROW('NFR repository'!R70) &amp; "C" &amp; TEXT(28 + $AT$2,"0"),FALSE)&lt;&gt;""),'NFR repository'!I70,0)</f>
        <v>#REF!</v>
      </c>
      <c r="AU70" s="168" t="e">
        <f ca="1">IF(AND('NFR repository'!H70=Params!$I$3,INDIRECT("'NFR repository'!L" &amp; ROW('NFR repository'!R70) &amp; "C" &amp; TEXT(32 + $AU$2,"0"),FALSE)&lt;&gt;""),'NFR repository'!I70,0)</f>
        <v>#REF!</v>
      </c>
      <c r="AV70" s="233" t="e">
        <f ca="1">IF(AND('NFR repository'!H70=Params!$I$3,INDIRECT("'NFR repository'!L" &amp; ROW('NFR repository'!R70) &amp; "C" &amp; TEXT(36 + $AV$2,"0"),FALSE)&lt;&gt;""),'NFR repository'!I70,0)</f>
        <v>#REF!</v>
      </c>
      <c r="AW70" s="92">
        <f>IF(AND('NFR repository'!$H70=Params!$I$3,IFERROR(FIND(AW$1,'NFR repository'!$U70)&gt;0,FALSE)),'NFR repository'!$I70,0)</f>
        <v>0</v>
      </c>
      <c r="AX70" s="231">
        <f>IF(AND('NFR repository'!$H70=Params!$I$3,Synthesis!$I$8&lt;&gt;Params!$B$17,IFERROR(FIND(AX$1,'NFR repository'!$U70)&gt;0,FALSE)),'NFR repository'!$I70,0)</f>
        <v>0</v>
      </c>
      <c r="AY70" s="231">
        <f>IF(AND('NFR repository'!$H70=Params!$I$3,IFERROR(FIND(AY$1,'NFR repository'!$U70)&gt;0,FALSE)),'NFR repository'!$I70,0)</f>
        <v>0</v>
      </c>
      <c r="AZ70" s="231">
        <f>IF(AND('NFR repository'!$H70=Params!$I$3,IFERROR(FIND(AZ$1,'NFR repository'!$U70)&gt;0,FALSE)),'NFR repository'!$I70,0)</f>
        <v>0</v>
      </c>
      <c r="BA70" s="231">
        <f>IF(AND('NFR repository'!$H70=Params!$I$3,IFERROR(FIND(BA$1,'NFR repository'!$U70)&gt;0,FALSE)),'NFR repository'!$I70,0)</f>
        <v>0</v>
      </c>
      <c r="BB70" s="231">
        <f>IF(AND('NFR repository'!$H70=Params!$I$3,IFERROR(FIND(BB$1,'NFR repository'!$U70)&gt;0,FALSE)),'NFR repository'!$I70,0)</f>
        <v>0</v>
      </c>
      <c r="BC70" s="231">
        <f>IF(AND('NFR repository'!$H70=Params!$I$3,IFERROR(FIND(BC$1,'NFR repository'!$U70)&gt;0,FALSE)),'NFR repository'!$I70,0)</f>
        <v>0</v>
      </c>
      <c r="BD70" s="231">
        <f>IF(AND('NFR repository'!$H70=Params!$I$3,IFERROR(FIND(BD$1,'NFR repository'!$U70)&gt;0,FALSE)),'NFR repository'!$I70,0)</f>
        <v>0</v>
      </c>
      <c r="BE70" s="93">
        <f>IF(AND('NFR repository'!$H70=Params!$I$3,IFERROR(FIND(BE$1,'NFR repository'!$U70)&gt;0,FALSE)),'NFR repository'!$I70,0)</f>
        <v>0</v>
      </c>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row>
    <row r="71" spans="1:84" ht="60" x14ac:dyDescent="0.25">
      <c r="A71" s="1"/>
      <c r="B71" s="193" t="s">
        <v>442</v>
      </c>
      <c r="C71" s="194" t="s">
        <v>624</v>
      </c>
      <c r="D71" s="36" t="s">
        <v>137</v>
      </c>
      <c r="E71" s="36"/>
      <c r="F71" s="38" t="s">
        <v>140</v>
      </c>
      <c r="G71" s="78" t="s">
        <v>668</v>
      </c>
      <c r="H71" s="35" t="s">
        <v>472</v>
      </c>
      <c r="I71" s="72" t="s">
        <v>41</v>
      </c>
      <c r="J71" s="215"/>
      <c r="K71" s="215"/>
      <c r="L71" s="195"/>
      <c r="M71" s="79" t="s">
        <v>558</v>
      </c>
      <c r="N71" s="79" t="s">
        <v>655</v>
      </c>
      <c r="O71" s="51" t="s">
        <v>578</v>
      </c>
      <c r="P71" s="51" t="s">
        <v>578</v>
      </c>
      <c r="Q71" s="51" t="s">
        <v>156</v>
      </c>
      <c r="R71" s="51" t="s">
        <v>151</v>
      </c>
      <c r="S71" s="35" t="s">
        <v>277</v>
      </c>
      <c r="T71" s="35" t="s">
        <v>46</v>
      </c>
      <c r="U71" s="35" t="s">
        <v>11</v>
      </c>
      <c r="V71" s="38" t="s">
        <v>591</v>
      </c>
      <c r="W71" s="3"/>
      <c r="X71" s="3"/>
      <c r="Y71" s="3" t="s">
        <v>128</v>
      </c>
      <c r="Z71" s="3" t="s">
        <v>128</v>
      </c>
      <c r="AA71" s="3"/>
      <c r="AB71" s="3"/>
      <c r="AC71" s="3"/>
      <c r="AD71" s="3"/>
      <c r="AE71" s="3"/>
      <c r="AF71" s="3"/>
      <c r="AG71" s="3"/>
      <c r="AH71" s="3"/>
      <c r="AI71" s="3"/>
      <c r="AJ71" s="3"/>
      <c r="AK71" s="3"/>
      <c r="AL71" s="3"/>
      <c r="AM71" s="3"/>
      <c r="AN71" s="3"/>
      <c r="AO71" s="3"/>
      <c r="AP71" s="3"/>
      <c r="AQ71" s="3"/>
      <c r="AR71" s="2"/>
      <c r="AS71" s="92" t="e">
        <f ca="1">IF(AND('NFR repository'!H71=Params!$I$3,INDIRECT("'NFR repository'!L" &amp; ROW('NFR repository'!A71) &amp; "C" &amp; TEXT(24 + $AS$2,"0"),FALSE)&lt;&gt;""),'NFR repository'!I71,0)</f>
        <v>#REF!</v>
      </c>
      <c r="AT71" s="168" t="e">
        <f ca="1">IF(AND('NFR repository'!H71=Params!$I$3,INDIRECT("'NFR repository'!L" &amp; ROW('NFR repository'!R71) &amp; "C" &amp; TEXT(28 + $AT$2,"0"),FALSE)&lt;&gt;""),'NFR repository'!I71,0)</f>
        <v>#REF!</v>
      </c>
      <c r="AU71" s="168" t="e">
        <f ca="1">IF(AND('NFR repository'!H71=Params!$I$3,INDIRECT("'NFR repository'!L" &amp; ROW('NFR repository'!R71) &amp; "C" &amp; TEXT(32 + $AU$2,"0"),FALSE)&lt;&gt;""),'NFR repository'!I71,0)</f>
        <v>#REF!</v>
      </c>
      <c r="AV71" s="233" t="e">
        <f ca="1">IF(AND('NFR repository'!H71=Params!$I$3,INDIRECT("'NFR repository'!L" &amp; ROW('NFR repository'!R71) &amp; "C" &amp; TEXT(36 + $AV$2,"0"),FALSE)&lt;&gt;""),'NFR repository'!I71,0)</f>
        <v>#REF!</v>
      </c>
      <c r="AW71" s="92">
        <f>IF(AND('NFR repository'!$H71=Params!$I$3,IFERROR(FIND(AW$1,'NFR repository'!$U71)&gt;0,FALSE)),'NFR repository'!$I71,0)</f>
        <v>0</v>
      </c>
      <c r="AX71" s="231">
        <f>IF(AND('NFR repository'!$H71=Params!$I$3,Synthesis!$I$8&lt;&gt;Params!$B$17,IFERROR(FIND(AX$1,'NFR repository'!$U71)&gt;0,FALSE)),'NFR repository'!$I71,0)</f>
        <v>0</v>
      </c>
      <c r="AY71" s="231">
        <f>IF(AND('NFR repository'!$H71=Params!$I$3,IFERROR(FIND(AY$1,'NFR repository'!$U71)&gt;0,FALSE)),'NFR repository'!$I71,0)</f>
        <v>0</v>
      </c>
      <c r="AZ71" s="231">
        <f>IF(AND('NFR repository'!$H71=Params!$I$3,IFERROR(FIND(AZ$1,'NFR repository'!$U71)&gt;0,FALSE)),'NFR repository'!$I71,0)</f>
        <v>0</v>
      </c>
      <c r="BA71" s="231">
        <f>IF(AND('NFR repository'!$H71=Params!$I$3,IFERROR(FIND(BA$1,'NFR repository'!$U71)&gt;0,FALSE)),'NFR repository'!$I71,0)</f>
        <v>0</v>
      </c>
      <c r="BB71" s="231">
        <f>IF(AND('NFR repository'!$H71=Params!$I$3,IFERROR(FIND(BB$1,'NFR repository'!$U71)&gt;0,FALSE)),'NFR repository'!$I71,0)</f>
        <v>0</v>
      </c>
      <c r="BC71" s="231">
        <f>IF(AND('NFR repository'!$H71=Params!$I$3,IFERROR(FIND(BC$1,'NFR repository'!$U71)&gt;0,FALSE)),'NFR repository'!$I71,0)</f>
        <v>0</v>
      </c>
      <c r="BD71" s="231">
        <f>IF(AND('NFR repository'!$H71=Params!$I$3,IFERROR(FIND(BD$1,'NFR repository'!$U71)&gt;0,FALSE)),'NFR repository'!$I71,0)</f>
        <v>0</v>
      </c>
      <c r="BE71" s="93">
        <f>IF(AND('NFR repository'!$H71=Params!$I$3,IFERROR(FIND(BE$1,'NFR repository'!$U71)&gt;0,FALSE)),'NFR repository'!$I71,0)</f>
        <v>0</v>
      </c>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row>
    <row r="72" spans="1:84" ht="60" x14ac:dyDescent="0.25">
      <c r="A72" s="1"/>
      <c r="B72" s="193" t="s">
        <v>443</v>
      </c>
      <c r="C72" s="194" t="s">
        <v>369</v>
      </c>
      <c r="D72" s="83" t="s">
        <v>764</v>
      </c>
      <c r="E72" s="36"/>
      <c r="F72" s="38" t="s">
        <v>140</v>
      </c>
      <c r="G72" s="78" t="s">
        <v>668</v>
      </c>
      <c r="H72" s="35" t="s">
        <v>472</v>
      </c>
      <c r="I72" s="72" t="s">
        <v>41</v>
      </c>
      <c r="J72" s="215"/>
      <c r="K72" s="215"/>
      <c r="L72" s="195"/>
      <c r="M72" s="79" t="s">
        <v>558</v>
      </c>
      <c r="N72" s="79" t="s">
        <v>168</v>
      </c>
      <c r="O72" s="51" t="s">
        <v>578</v>
      </c>
      <c r="P72" s="51" t="s">
        <v>578</v>
      </c>
      <c r="Q72" s="51" t="s">
        <v>156</v>
      </c>
      <c r="R72" s="51" t="s">
        <v>168</v>
      </c>
      <c r="S72" s="35" t="s">
        <v>277</v>
      </c>
      <c r="T72" s="35" t="s">
        <v>46</v>
      </c>
      <c r="U72" s="35" t="s">
        <v>11</v>
      </c>
      <c r="V72" s="38" t="s">
        <v>591</v>
      </c>
      <c r="W72" s="3"/>
      <c r="X72" s="3"/>
      <c r="Y72" s="3" t="s">
        <v>128</v>
      </c>
      <c r="Z72" s="3" t="s">
        <v>128</v>
      </c>
      <c r="AA72" s="3"/>
      <c r="AB72" s="3"/>
      <c r="AC72" s="3"/>
      <c r="AD72" s="3"/>
      <c r="AE72" s="3"/>
      <c r="AF72" s="3"/>
      <c r="AG72" s="3"/>
      <c r="AH72" s="3"/>
      <c r="AI72" s="3"/>
      <c r="AJ72" s="3"/>
      <c r="AK72" s="3"/>
      <c r="AL72" s="3"/>
      <c r="AM72" s="3"/>
      <c r="AN72" s="3"/>
      <c r="AO72" s="3"/>
      <c r="AP72" s="3"/>
      <c r="AQ72" s="3"/>
      <c r="AR72" s="2"/>
      <c r="AS72" s="92" t="e">
        <f ca="1">IF(AND('NFR repository'!H72=Params!$I$3,INDIRECT("'NFR repository'!L" &amp; ROW('NFR repository'!A72) &amp; "C" &amp; TEXT(24 + $AS$2,"0"),FALSE)&lt;&gt;""),'NFR repository'!I72,0)</f>
        <v>#REF!</v>
      </c>
      <c r="AT72" s="168" t="e">
        <f ca="1">IF(AND('NFR repository'!H72=Params!$I$3,INDIRECT("'NFR repository'!L" &amp; ROW('NFR repository'!R72) &amp; "C" &amp; TEXT(28 + $AT$2,"0"),FALSE)&lt;&gt;""),'NFR repository'!I72,0)</f>
        <v>#REF!</v>
      </c>
      <c r="AU72" s="168" t="e">
        <f ca="1">IF(AND('NFR repository'!H72=Params!$I$3,INDIRECT("'NFR repository'!L" &amp; ROW('NFR repository'!R72) &amp; "C" &amp; TEXT(32 + $AU$2,"0"),FALSE)&lt;&gt;""),'NFR repository'!I72,0)</f>
        <v>#REF!</v>
      </c>
      <c r="AV72" s="233" t="e">
        <f ca="1">IF(AND('NFR repository'!H72=Params!$I$3,INDIRECT("'NFR repository'!L" &amp; ROW('NFR repository'!R72) &amp; "C" &amp; TEXT(36 + $AV$2,"0"),FALSE)&lt;&gt;""),'NFR repository'!I72,0)</f>
        <v>#REF!</v>
      </c>
      <c r="AW72" s="92">
        <f>IF(AND('NFR repository'!$H72=Params!$I$3,IFERROR(FIND(AW$1,'NFR repository'!$U72)&gt;0,FALSE)),'NFR repository'!$I72,0)</f>
        <v>0</v>
      </c>
      <c r="AX72" s="231">
        <f>IF(AND('NFR repository'!$H72=Params!$I$3,Synthesis!$I$8&lt;&gt;Params!$B$17,IFERROR(FIND(AX$1,'NFR repository'!$U72)&gt;0,FALSE)),'NFR repository'!$I72,0)</f>
        <v>0</v>
      </c>
      <c r="AY72" s="231">
        <f>IF(AND('NFR repository'!$H72=Params!$I$3,IFERROR(FIND(AY$1,'NFR repository'!$U72)&gt;0,FALSE)),'NFR repository'!$I72,0)</f>
        <v>0</v>
      </c>
      <c r="AZ72" s="231">
        <f>IF(AND('NFR repository'!$H72=Params!$I$3,IFERROR(FIND(AZ$1,'NFR repository'!$U72)&gt;0,FALSE)),'NFR repository'!$I72,0)</f>
        <v>0</v>
      </c>
      <c r="BA72" s="231">
        <f>IF(AND('NFR repository'!$H72=Params!$I$3,IFERROR(FIND(BA$1,'NFR repository'!$U72)&gt;0,FALSE)),'NFR repository'!$I72,0)</f>
        <v>0</v>
      </c>
      <c r="BB72" s="231">
        <f>IF(AND('NFR repository'!$H72=Params!$I$3,IFERROR(FIND(BB$1,'NFR repository'!$U72)&gt;0,FALSE)),'NFR repository'!$I72,0)</f>
        <v>0</v>
      </c>
      <c r="BC72" s="231">
        <f>IF(AND('NFR repository'!$H72=Params!$I$3,IFERROR(FIND(BC$1,'NFR repository'!$U72)&gt;0,FALSE)),'NFR repository'!$I72,0)</f>
        <v>0</v>
      </c>
      <c r="BD72" s="231">
        <f>IF(AND('NFR repository'!$H72=Params!$I$3,IFERROR(FIND(BD$1,'NFR repository'!$U72)&gt;0,FALSE)),'NFR repository'!$I72,0)</f>
        <v>0</v>
      </c>
      <c r="BE72" s="93">
        <f>IF(AND('NFR repository'!$H72=Params!$I$3,IFERROR(FIND(BE$1,'NFR repository'!$U72)&gt;0,FALSE)),'NFR repository'!$I72,0)</f>
        <v>0</v>
      </c>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row>
    <row r="73" spans="1:84" ht="60" x14ac:dyDescent="0.25">
      <c r="A73" s="1"/>
      <c r="B73" s="193" t="s">
        <v>223</v>
      </c>
      <c r="C73" s="194" t="s">
        <v>370</v>
      </c>
      <c r="D73" s="83" t="s">
        <v>814</v>
      </c>
      <c r="E73" s="36"/>
      <c r="F73" s="38" t="s">
        <v>278</v>
      </c>
      <c r="G73" s="78" t="s">
        <v>278</v>
      </c>
      <c r="H73" s="35" t="s">
        <v>472</v>
      </c>
      <c r="I73" s="72" t="s">
        <v>41</v>
      </c>
      <c r="J73" s="215"/>
      <c r="K73" s="215"/>
      <c r="L73" s="195"/>
      <c r="M73" s="79" t="s">
        <v>558</v>
      </c>
      <c r="N73" s="79" t="s">
        <v>561</v>
      </c>
      <c r="O73" s="51" t="s">
        <v>580</v>
      </c>
      <c r="P73" s="51" t="s">
        <v>580</v>
      </c>
      <c r="Q73" s="51" t="s">
        <v>156</v>
      </c>
      <c r="R73" s="51" t="s">
        <v>156</v>
      </c>
      <c r="S73" s="35" t="s">
        <v>150</v>
      </c>
      <c r="T73" s="35" t="s">
        <v>46</v>
      </c>
      <c r="U73" s="38" t="s">
        <v>11</v>
      </c>
      <c r="V73" s="38" t="s">
        <v>11</v>
      </c>
      <c r="W73" s="3" t="s">
        <v>128</v>
      </c>
      <c r="X73" s="3" t="s">
        <v>128</v>
      </c>
      <c r="Y73" s="3" t="s">
        <v>128</v>
      </c>
      <c r="Z73" s="3" t="s">
        <v>128</v>
      </c>
      <c r="AA73" s="3"/>
      <c r="AB73" s="3"/>
      <c r="AC73" s="3"/>
      <c r="AD73" s="3"/>
      <c r="AE73" s="3"/>
      <c r="AF73" s="3"/>
      <c r="AG73" s="3"/>
      <c r="AH73" s="3"/>
      <c r="AI73" s="3"/>
      <c r="AJ73" s="3"/>
      <c r="AK73" s="3"/>
      <c r="AL73" s="3"/>
      <c r="AM73" s="3"/>
      <c r="AN73" s="3"/>
      <c r="AO73" s="3"/>
      <c r="AP73" s="3"/>
      <c r="AQ73" s="3"/>
      <c r="AR73" s="2"/>
      <c r="AS73" s="92" t="e">
        <f ca="1">IF(AND('NFR repository'!H73=Params!$I$3,INDIRECT("'NFR repository'!L" &amp; ROW('NFR repository'!A73) &amp; "C" &amp; TEXT(24 + $AS$2,"0"),FALSE)&lt;&gt;""),'NFR repository'!I73,0)</f>
        <v>#REF!</v>
      </c>
      <c r="AT73" s="168" t="e">
        <f ca="1">IF(AND('NFR repository'!H73=Params!$I$3,INDIRECT("'NFR repository'!L" &amp; ROW('NFR repository'!R73) &amp; "C" &amp; TEXT(28 + $AT$2,"0"),FALSE)&lt;&gt;""),'NFR repository'!I73,0)</f>
        <v>#REF!</v>
      </c>
      <c r="AU73" s="168" t="e">
        <f ca="1">IF(AND('NFR repository'!H73=Params!$I$3,INDIRECT("'NFR repository'!L" &amp; ROW('NFR repository'!R73) &amp; "C" &amp; TEXT(32 + $AU$2,"0"),FALSE)&lt;&gt;""),'NFR repository'!I73,0)</f>
        <v>#REF!</v>
      </c>
      <c r="AV73" s="233" t="e">
        <f ca="1">IF(AND('NFR repository'!H73=Params!$I$3,INDIRECT("'NFR repository'!L" &amp; ROW('NFR repository'!R73) &amp; "C" &amp; TEXT(36 + $AV$2,"0"),FALSE)&lt;&gt;""),'NFR repository'!I73,0)</f>
        <v>#REF!</v>
      </c>
      <c r="AW73" s="92">
        <f>IF(AND('NFR repository'!$H73=Params!$I$3,IFERROR(FIND(AW$1,'NFR repository'!$U73)&gt;0,FALSE)),'NFR repository'!$I73,0)</f>
        <v>0</v>
      </c>
      <c r="AX73" s="231">
        <f>IF(AND('NFR repository'!$H73=Params!$I$3,Synthesis!$I$8&lt;&gt;Params!$B$17,IFERROR(FIND(AX$1,'NFR repository'!$U73)&gt;0,FALSE)),'NFR repository'!$I73,0)</f>
        <v>0</v>
      </c>
      <c r="AY73" s="231">
        <f>IF(AND('NFR repository'!$H73=Params!$I$3,IFERROR(FIND(AY$1,'NFR repository'!$U73)&gt;0,FALSE)),'NFR repository'!$I73,0)</f>
        <v>0</v>
      </c>
      <c r="AZ73" s="231">
        <f>IF(AND('NFR repository'!$H73=Params!$I$3,IFERROR(FIND(AZ$1,'NFR repository'!$U73)&gt;0,FALSE)),'NFR repository'!$I73,0)</f>
        <v>0</v>
      </c>
      <c r="BA73" s="231">
        <f>IF(AND('NFR repository'!$H73=Params!$I$3,IFERROR(FIND(BA$1,'NFR repository'!$U73)&gt;0,FALSE)),'NFR repository'!$I73,0)</f>
        <v>0</v>
      </c>
      <c r="BB73" s="231">
        <f>IF(AND('NFR repository'!$H73=Params!$I$3,IFERROR(FIND(BB$1,'NFR repository'!$U73)&gt;0,FALSE)),'NFR repository'!$I73,0)</f>
        <v>0</v>
      </c>
      <c r="BC73" s="231">
        <f>IF(AND('NFR repository'!$H73=Params!$I$3,IFERROR(FIND(BC$1,'NFR repository'!$U73)&gt;0,FALSE)),'NFR repository'!$I73,0)</f>
        <v>0</v>
      </c>
      <c r="BD73" s="231">
        <f>IF(AND('NFR repository'!$H73=Params!$I$3,IFERROR(FIND(BD$1,'NFR repository'!$U73)&gt;0,FALSE)),'NFR repository'!$I73,0)</f>
        <v>0</v>
      </c>
      <c r="BE73" s="93">
        <f>IF(AND('NFR repository'!$H73=Params!$I$3,IFERROR(FIND(BE$1,'NFR repository'!$U73)&gt;0,FALSE)),'NFR repository'!$I73,0)</f>
        <v>0</v>
      </c>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row>
    <row r="74" spans="1:84" ht="90" x14ac:dyDescent="0.25">
      <c r="A74" s="1"/>
      <c r="B74" s="193" t="s">
        <v>224</v>
      </c>
      <c r="C74" s="204" t="s">
        <v>371</v>
      </c>
      <c r="D74" s="36" t="s">
        <v>137</v>
      </c>
      <c r="E74" s="36" t="s">
        <v>491</v>
      </c>
      <c r="F74" s="35" t="s">
        <v>167</v>
      </c>
      <c r="G74" s="51" t="s">
        <v>608</v>
      </c>
      <c r="H74" s="35" t="s">
        <v>472</v>
      </c>
      <c r="I74" s="72" t="s">
        <v>41</v>
      </c>
      <c r="J74" s="215"/>
      <c r="K74" s="215"/>
      <c r="L74" s="195"/>
      <c r="M74" s="79" t="s">
        <v>558</v>
      </c>
      <c r="N74" s="80" t="s">
        <v>656</v>
      </c>
      <c r="O74" s="51" t="s">
        <v>576</v>
      </c>
      <c r="P74" s="51" t="s">
        <v>579</v>
      </c>
      <c r="Q74" s="51" t="s">
        <v>156</v>
      </c>
      <c r="R74" s="51" t="s">
        <v>156</v>
      </c>
      <c r="S74" s="35" t="s">
        <v>492</v>
      </c>
      <c r="T74" s="35" t="s">
        <v>46</v>
      </c>
      <c r="U74" s="35" t="s">
        <v>842</v>
      </c>
      <c r="V74" s="35" t="s">
        <v>594</v>
      </c>
      <c r="W74" s="3"/>
      <c r="X74" s="3"/>
      <c r="Y74" s="3"/>
      <c r="Z74" s="3"/>
      <c r="AA74" s="3"/>
      <c r="AB74" s="3"/>
      <c r="AC74" s="3"/>
      <c r="AD74" s="3"/>
      <c r="AE74" s="3"/>
      <c r="AF74" s="3"/>
      <c r="AG74" s="3"/>
      <c r="AH74" s="3"/>
      <c r="AI74" s="3"/>
      <c r="AJ74" s="3"/>
      <c r="AK74" s="3"/>
      <c r="AL74" s="3"/>
      <c r="AM74" s="3"/>
      <c r="AN74" s="3"/>
      <c r="AO74" s="3"/>
      <c r="AP74" s="3"/>
      <c r="AQ74" s="3"/>
      <c r="AR74" s="2"/>
      <c r="AS74" s="92" t="e">
        <f ca="1">IF(AND('NFR repository'!H74=Params!$I$3,INDIRECT("'NFR repository'!L" &amp; ROW('NFR repository'!A74) &amp; "C" &amp; TEXT(24 + $AS$2,"0"),FALSE)&lt;&gt;""),'NFR repository'!I74,0)</f>
        <v>#REF!</v>
      </c>
      <c r="AT74" s="168" t="e">
        <f ca="1">IF(AND('NFR repository'!H74=Params!$I$3,INDIRECT("'NFR repository'!L" &amp; ROW('NFR repository'!R74) &amp; "C" &amp; TEXT(28 + $AT$2,"0"),FALSE)&lt;&gt;""),'NFR repository'!I74,0)</f>
        <v>#REF!</v>
      </c>
      <c r="AU74" s="168" t="e">
        <f ca="1">IF(AND('NFR repository'!H74=Params!$I$3,INDIRECT("'NFR repository'!L" &amp; ROW('NFR repository'!R74) &amp; "C" &amp; TEXT(32 + $AU$2,"0"),FALSE)&lt;&gt;""),'NFR repository'!I74,0)</f>
        <v>#REF!</v>
      </c>
      <c r="AV74" s="233" t="e">
        <f ca="1">IF(AND('NFR repository'!H74=Params!$I$3,INDIRECT("'NFR repository'!L" &amp; ROW('NFR repository'!R74) &amp; "C" &amp; TEXT(36 + $AV$2,"0"),FALSE)&lt;&gt;""),'NFR repository'!I74,0)</f>
        <v>#REF!</v>
      </c>
      <c r="AW74" s="92">
        <f>IF(AND('NFR repository'!$H74=Params!$I$3,IFERROR(FIND(AW$1,'NFR repository'!$U74)&gt;0,FALSE)),'NFR repository'!$I74,0)</f>
        <v>0</v>
      </c>
      <c r="AX74" s="231">
        <f>IF(AND('NFR repository'!$H74=Params!$I$3,Synthesis!$I$8&lt;&gt;Params!$B$17,IFERROR(FIND(AX$1,'NFR repository'!$U74)&gt;0,FALSE)),'NFR repository'!$I74,0)</f>
        <v>0</v>
      </c>
      <c r="AY74" s="231">
        <f>IF(AND('NFR repository'!$H74=Params!$I$3,IFERROR(FIND(AY$1,'NFR repository'!$U74)&gt;0,FALSE)),'NFR repository'!$I74,0)</f>
        <v>0</v>
      </c>
      <c r="AZ74" s="231">
        <f>IF(AND('NFR repository'!$H74=Params!$I$3,IFERROR(FIND(AZ$1,'NFR repository'!$U74)&gt;0,FALSE)),'NFR repository'!$I74,0)</f>
        <v>0</v>
      </c>
      <c r="BA74" s="231">
        <f>IF(AND('NFR repository'!$H74=Params!$I$3,IFERROR(FIND(BA$1,'NFR repository'!$U74)&gt;0,FALSE)),'NFR repository'!$I74,0)</f>
        <v>0</v>
      </c>
      <c r="BB74" s="231">
        <f>IF(AND('NFR repository'!$H74=Params!$I$3,IFERROR(FIND(BB$1,'NFR repository'!$U74)&gt;0,FALSE)),'NFR repository'!$I74,0)</f>
        <v>0</v>
      </c>
      <c r="BC74" s="231">
        <f>IF(AND('NFR repository'!$H74=Params!$I$3,IFERROR(FIND(BC$1,'NFR repository'!$U74)&gt;0,FALSE)),'NFR repository'!$I74,0)</f>
        <v>0</v>
      </c>
      <c r="BD74" s="231">
        <f>IF(AND('NFR repository'!$H74=Params!$I$3,IFERROR(FIND(BD$1,'NFR repository'!$U74)&gt;0,FALSE)),'NFR repository'!$I74,0)</f>
        <v>0</v>
      </c>
      <c r="BE74" s="93">
        <f>IF(AND('NFR repository'!$H74=Params!$I$3,IFERROR(FIND(BE$1,'NFR repository'!$U74)&gt;0,FALSE)),'NFR repository'!$I74,0)</f>
        <v>0</v>
      </c>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row>
    <row r="75" spans="1:84" ht="15.75" x14ac:dyDescent="0.25">
      <c r="A75" s="1"/>
      <c r="B75" s="52" t="s">
        <v>79</v>
      </c>
      <c r="C75" s="39" t="s">
        <v>59</v>
      </c>
      <c r="D75" s="82"/>
      <c r="E75" s="82"/>
      <c r="F75" s="4"/>
      <c r="G75" s="77"/>
      <c r="H75" s="4"/>
      <c r="I75" s="49"/>
      <c r="J75" s="213"/>
      <c r="K75" s="213"/>
      <c r="L75" s="189"/>
      <c r="M75" s="76"/>
      <c r="N75" s="76"/>
      <c r="O75" s="77"/>
      <c r="P75" s="77"/>
      <c r="Q75" s="77"/>
      <c r="R75" s="77"/>
      <c r="S75" s="4"/>
      <c r="T75" s="4"/>
      <c r="U75" s="4"/>
      <c r="V75" s="4"/>
      <c r="W75" s="4"/>
      <c r="X75" s="4"/>
      <c r="Y75" s="4"/>
      <c r="Z75" s="4"/>
      <c r="AA75" s="4"/>
      <c r="AB75" s="4"/>
      <c r="AC75" s="4"/>
      <c r="AD75" s="4"/>
      <c r="AE75" s="4"/>
      <c r="AF75" s="4"/>
      <c r="AG75" s="4"/>
      <c r="AH75" s="4"/>
      <c r="AI75" s="4"/>
      <c r="AJ75" s="4"/>
      <c r="AK75" s="4"/>
      <c r="AL75" s="4"/>
      <c r="AM75" s="4"/>
      <c r="AN75" s="4"/>
      <c r="AO75" s="4"/>
      <c r="AP75" s="4"/>
      <c r="AQ75" s="4"/>
      <c r="AR75" s="2"/>
      <c r="AS75" s="92" t="e">
        <f ca="1">IF(AND('NFR repository'!H75=Params!$I$3,INDIRECT("'NFR repository'!L" &amp; ROW('NFR repository'!A75) &amp; "C" &amp; TEXT(24 + $AS$2,"0"),FALSE)&lt;&gt;""),'NFR repository'!I75,0)</f>
        <v>#REF!</v>
      </c>
      <c r="AT75" s="168" t="e">
        <f ca="1">IF(AND('NFR repository'!H75=Params!$I$3,INDIRECT("'NFR repository'!L" &amp; ROW('NFR repository'!R75) &amp; "C" &amp; TEXT(28 + $AT$2,"0"),FALSE)&lt;&gt;""),'NFR repository'!I75,0)</f>
        <v>#REF!</v>
      </c>
      <c r="AU75" s="168" t="e">
        <f ca="1">IF(AND('NFR repository'!H75=Params!$I$3,INDIRECT("'NFR repository'!L" &amp; ROW('NFR repository'!R75) &amp; "C" &amp; TEXT(32 + $AU$2,"0"),FALSE)&lt;&gt;""),'NFR repository'!I75,0)</f>
        <v>#REF!</v>
      </c>
      <c r="AV75" s="233" t="e">
        <f ca="1">IF(AND('NFR repository'!H75=Params!$I$3,INDIRECT("'NFR repository'!L" &amp; ROW('NFR repository'!R75) &amp; "C" &amp; TEXT(36 + $AV$2,"0"),FALSE)&lt;&gt;""),'NFR repository'!I75,0)</f>
        <v>#REF!</v>
      </c>
      <c r="AW75" s="92">
        <f>IF(AND('NFR repository'!$H75=Params!$I$3,IFERROR(FIND(AW$1,'NFR repository'!$U75)&gt;0,FALSE)),'NFR repository'!$I75,0)</f>
        <v>0</v>
      </c>
      <c r="AX75" s="231">
        <f>IF(AND('NFR repository'!$H75=Params!$I$3,Synthesis!$I$8&lt;&gt;Params!$B$17,IFERROR(FIND(AX$1,'NFR repository'!$U75)&gt;0,FALSE)),'NFR repository'!$I75,0)</f>
        <v>0</v>
      </c>
      <c r="AY75" s="231">
        <f>IF(AND('NFR repository'!$H75=Params!$I$3,IFERROR(FIND(AY$1,'NFR repository'!$U75)&gt;0,FALSE)),'NFR repository'!$I75,0)</f>
        <v>0</v>
      </c>
      <c r="AZ75" s="231">
        <f>IF(AND('NFR repository'!$H75=Params!$I$3,IFERROR(FIND(AZ$1,'NFR repository'!$U75)&gt;0,FALSE)),'NFR repository'!$I75,0)</f>
        <v>0</v>
      </c>
      <c r="BA75" s="231">
        <f>IF(AND('NFR repository'!$H75=Params!$I$3,IFERROR(FIND(BA$1,'NFR repository'!$U75)&gt;0,FALSE)),'NFR repository'!$I75,0)</f>
        <v>0</v>
      </c>
      <c r="BB75" s="231">
        <f>IF(AND('NFR repository'!$H75=Params!$I$3,IFERROR(FIND(BB$1,'NFR repository'!$U75)&gt;0,FALSE)),'NFR repository'!$I75,0)</f>
        <v>0</v>
      </c>
      <c r="BC75" s="231">
        <f>IF(AND('NFR repository'!$H75=Params!$I$3,IFERROR(FIND(BC$1,'NFR repository'!$U75)&gt;0,FALSE)),'NFR repository'!$I75,0)</f>
        <v>0</v>
      </c>
      <c r="BD75" s="231">
        <f>IF(AND('NFR repository'!$H75=Params!$I$3,IFERROR(FIND(BD$1,'NFR repository'!$U75)&gt;0,FALSE)),'NFR repository'!$I75,0)</f>
        <v>0</v>
      </c>
      <c r="BE75" s="93">
        <f>IF(AND('NFR repository'!$H75=Params!$I$3,IFERROR(FIND(BE$1,'NFR repository'!$U75)&gt;0,FALSE)),'NFR repository'!$I75,0)</f>
        <v>0</v>
      </c>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row>
    <row r="76" spans="1:84" ht="45" x14ac:dyDescent="0.25">
      <c r="A76" s="1"/>
      <c r="B76" s="193" t="s">
        <v>225</v>
      </c>
      <c r="C76" s="194" t="s">
        <v>372</v>
      </c>
      <c r="D76" s="36" t="s">
        <v>137</v>
      </c>
      <c r="E76" s="36"/>
      <c r="F76" s="35" t="s">
        <v>583</v>
      </c>
      <c r="G76" s="51" t="s">
        <v>583</v>
      </c>
      <c r="H76" s="35" t="s">
        <v>472</v>
      </c>
      <c r="I76" s="72" t="s">
        <v>41</v>
      </c>
      <c r="J76" s="215"/>
      <c r="K76" s="215"/>
      <c r="L76" s="195"/>
      <c r="M76" s="79" t="s">
        <v>130</v>
      </c>
      <c r="N76" s="80" t="s">
        <v>170</v>
      </c>
      <c r="O76" s="51" t="s">
        <v>576</v>
      </c>
      <c r="P76" s="51" t="s">
        <v>577</v>
      </c>
      <c r="Q76" s="51" t="s">
        <v>46</v>
      </c>
      <c r="R76" s="51" t="s">
        <v>46</v>
      </c>
      <c r="S76" s="35" t="s">
        <v>46</v>
      </c>
      <c r="T76" s="35" t="s">
        <v>46</v>
      </c>
      <c r="U76" s="35" t="s">
        <v>715</v>
      </c>
      <c r="V76" s="35" t="s">
        <v>591</v>
      </c>
      <c r="W76" s="3"/>
      <c r="X76" s="3"/>
      <c r="Y76" s="3"/>
      <c r="Z76" s="3"/>
      <c r="AA76" s="3"/>
      <c r="AB76" s="3"/>
      <c r="AC76" s="3"/>
      <c r="AD76" s="3"/>
      <c r="AE76" s="3"/>
      <c r="AF76" s="3"/>
      <c r="AG76" s="3"/>
      <c r="AH76" s="3"/>
      <c r="AI76" s="3"/>
      <c r="AJ76" s="3"/>
      <c r="AK76" s="3"/>
      <c r="AL76" s="3"/>
      <c r="AM76" s="3"/>
      <c r="AN76" s="3"/>
      <c r="AO76" s="3"/>
      <c r="AP76" s="3"/>
      <c r="AQ76" s="3"/>
      <c r="AR76" s="2"/>
      <c r="AS76" s="92" t="e">
        <f ca="1">IF(AND('NFR repository'!H76=Params!$I$3,INDIRECT("'NFR repository'!L" &amp; ROW('NFR repository'!A76) &amp; "C" &amp; TEXT(24 + $AS$2,"0"),FALSE)&lt;&gt;""),'NFR repository'!I76,0)</f>
        <v>#REF!</v>
      </c>
      <c r="AT76" s="168" t="e">
        <f ca="1">IF(AND('NFR repository'!H76=Params!$I$3,INDIRECT("'NFR repository'!L" &amp; ROW('NFR repository'!R76) &amp; "C" &amp; TEXT(28 + $AT$2,"0"),FALSE)&lt;&gt;""),'NFR repository'!I76,0)</f>
        <v>#REF!</v>
      </c>
      <c r="AU76" s="168" t="e">
        <f ca="1">IF(AND('NFR repository'!H76=Params!$I$3,INDIRECT("'NFR repository'!L" &amp; ROW('NFR repository'!R76) &amp; "C" &amp; TEXT(32 + $AU$2,"0"),FALSE)&lt;&gt;""),'NFR repository'!I76,0)</f>
        <v>#REF!</v>
      </c>
      <c r="AV76" s="233" t="e">
        <f ca="1">IF(AND('NFR repository'!H76=Params!$I$3,INDIRECT("'NFR repository'!L" &amp; ROW('NFR repository'!R76) &amp; "C" &amp; TEXT(36 + $AV$2,"0"),FALSE)&lt;&gt;""),'NFR repository'!I76,0)</f>
        <v>#REF!</v>
      </c>
      <c r="AW76" s="92">
        <f>IF(AND('NFR repository'!$H76=Params!$I$3,IFERROR(FIND(AW$1,'NFR repository'!$U76)&gt;0,FALSE)),'NFR repository'!$I76,0)</f>
        <v>0</v>
      </c>
      <c r="AX76" s="231">
        <f>IF(AND('NFR repository'!$H76=Params!$I$3,Synthesis!$I$8&lt;&gt;Params!$B$17,IFERROR(FIND(AX$1,'NFR repository'!$U76)&gt;0,FALSE)),'NFR repository'!$I76,0)</f>
        <v>0</v>
      </c>
      <c r="AY76" s="231">
        <f>IF(AND('NFR repository'!$H76=Params!$I$3,IFERROR(FIND(AY$1,'NFR repository'!$U76)&gt;0,FALSE)),'NFR repository'!$I76,0)</f>
        <v>0</v>
      </c>
      <c r="AZ76" s="231">
        <f>IF(AND('NFR repository'!$H76=Params!$I$3,IFERROR(FIND(AZ$1,'NFR repository'!$U76)&gt;0,FALSE)),'NFR repository'!$I76,0)</f>
        <v>0</v>
      </c>
      <c r="BA76" s="231">
        <f>IF(AND('NFR repository'!$H76=Params!$I$3,IFERROR(FIND(BA$1,'NFR repository'!$U76)&gt;0,FALSE)),'NFR repository'!$I76,0)</f>
        <v>0</v>
      </c>
      <c r="BB76" s="231">
        <f>IF(AND('NFR repository'!$H76=Params!$I$3,IFERROR(FIND(BB$1,'NFR repository'!$U76)&gt;0,FALSE)),'NFR repository'!$I76,0)</f>
        <v>0</v>
      </c>
      <c r="BC76" s="231">
        <f>IF(AND('NFR repository'!$H76=Params!$I$3,IFERROR(FIND(BC$1,'NFR repository'!$U76)&gt;0,FALSE)),'NFR repository'!$I76,0)</f>
        <v>0</v>
      </c>
      <c r="BD76" s="231">
        <f>IF(AND('NFR repository'!$H76=Params!$I$3,IFERROR(FIND(BD$1,'NFR repository'!$U76)&gt;0,FALSE)),'NFR repository'!$I76,0)</f>
        <v>0</v>
      </c>
      <c r="BE76" s="93">
        <f>IF(AND('NFR repository'!$H76=Params!$I$3,IFERROR(FIND(BE$1,'NFR repository'!$U76)&gt;0,FALSE)),'NFR repository'!$I76,0)</f>
        <v>0</v>
      </c>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row>
    <row r="77" spans="1:84" ht="30" x14ac:dyDescent="0.25">
      <c r="A77" s="1"/>
      <c r="B77" s="193" t="s">
        <v>226</v>
      </c>
      <c r="C77" s="194" t="s">
        <v>373</v>
      </c>
      <c r="D77" s="36" t="s">
        <v>137</v>
      </c>
      <c r="E77" s="36"/>
      <c r="F77" s="35" t="s">
        <v>583</v>
      </c>
      <c r="G77" s="51" t="s">
        <v>583</v>
      </c>
      <c r="H77" s="35" t="s">
        <v>472</v>
      </c>
      <c r="I77" s="72" t="s">
        <v>41</v>
      </c>
      <c r="J77" s="215"/>
      <c r="K77" s="215"/>
      <c r="L77" s="195"/>
      <c r="M77" s="79" t="s">
        <v>130</v>
      </c>
      <c r="N77" s="80" t="s">
        <v>170</v>
      </c>
      <c r="O77" s="51" t="s">
        <v>576</v>
      </c>
      <c r="P77" s="51" t="s">
        <v>577</v>
      </c>
      <c r="Q77" s="51" t="s">
        <v>46</v>
      </c>
      <c r="R77" s="51" t="s">
        <v>46</v>
      </c>
      <c r="S77" s="35" t="s">
        <v>46</v>
      </c>
      <c r="T77" s="35" t="s">
        <v>46</v>
      </c>
      <c r="U77" s="35" t="s">
        <v>591</v>
      </c>
      <c r="V77" s="35" t="s">
        <v>591</v>
      </c>
      <c r="W77" s="3"/>
      <c r="X77" s="3"/>
      <c r="Y77" s="3"/>
      <c r="Z77" s="3"/>
      <c r="AA77" s="3"/>
      <c r="AB77" s="3"/>
      <c r="AC77" s="3"/>
      <c r="AD77" s="3"/>
      <c r="AE77" s="3"/>
      <c r="AF77" s="3"/>
      <c r="AG77" s="3"/>
      <c r="AH77" s="3"/>
      <c r="AI77" s="3"/>
      <c r="AJ77" s="3"/>
      <c r="AK77" s="3"/>
      <c r="AL77" s="3"/>
      <c r="AM77" s="3"/>
      <c r="AN77" s="3"/>
      <c r="AO77" s="3"/>
      <c r="AP77" s="3"/>
      <c r="AQ77" s="3"/>
      <c r="AR77" s="2"/>
      <c r="AS77" s="92" t="e">
        <f ca="1">IF(AND('NFR repository'!H77=Params!$I$3,INDIRECT("'NFR repository'!L" &amp; ROW('NFR repository'!A77) &amp; "C" &amp; TEXT(24 + $AS$2,"0"),FALSE)&lt;&gt;""),'NFR repository'!I77,0)</f>
        <v>#REF!</v>
      </c>
      <c r="AT77" s="168" t="e">
        <f ca="1">IF(AND('NFR repository'!H77=Params!$I$3,INDIRECT("'NFR repository'!L" &amp; ROW('NFR repository'!R77) &amp; "C" &amp; TEXT(28 + $AT$2,"0"),FALSE)&lt;&gt;""),'NFR repository'!I77,0)</f>
        <v>#REF!</v>
      </c>
      <c r="AU77" s="168" t="e">
        <f ca="1">IF(AND('NFR repository'!H77=Params!$I$3,INDIRECT("'NFR repository'!L" &amp; ROW('NFR repository'!R77) &amp; "C" &amp; TEXT(32 + $AU$2,"0"),FALSE)&lt;&gt;""),'NFR repository'!I77,0)</f>
        <v>#REF!</v>
      </c>
      <c r="AV77" s="233" t="e">
        <f ca="1">IF(AND('NFR repository'!H77=Params!$I$3,INDIRECT("'NFR repository'!L" &amp; ROW('NFR repository'!R77) &amp; "C" &amp; TEXT(36 + $AV$2,"0"),FALSE)&lt;&gt;""),'NFR repository'!I77,0)</f>
        <v>#REF!</v>
      </c>
      <c r="AW77" s="92">
        <f>IF(AND('NFR repository'!$H77=Params!$I$3,IFERROR(FIND(AW$1,'NFR repository'!$U77)&gt;0,FALSE)),'NFR repository'!$I77,0)</f>
        <v>0</v>
      </c>
      <c r="AX77" s="231">
        <f>IF(AND('NFR repository'!$H77=Params!$I$3,Synthesis!$I$8&lt;&gt;Params!$B$17,IFERROR(FIND(AX$1,'NFR repository'!$U77)&gt;0,FALSE)),'NFR repository'!$I77,0)</f>
        <v>0</v>
      </c>
      <c r="AY77" s="231">
        <f>IF(AND('NFR repository'!$H77=Params!$I$3,IFERROR(FIND(AY$1,'NFR repository'!$U77)&gt;0,FALSE)),'NFR repository'!$I77,0)</f>
        <v>0</v>
      </c>
      <c r="AZ77" s="231">
        <f>IF(AND('NFR repository'!$H77=Params!$I$3,IFERROR(FIND(AZ$1,'NFR repository'!$U77)&gt;0,FALSE)),'NFR repository'!$I77,0)</f>
        <v>0</v>
      </c>
      <c r="BA77" s="231">
        <f>IF(AND('NFR repository'!$H77=Params!$I$3,IFERROR(FIND(BA$1,'NFR repository'!$U77)&gt;0,FALSE)),'NFR repository'!$I77,0)</f>
        <v>0</v>
      </c>
      <c r="BB77" s="231">
        <f>IF(AND('NFR repository'!$H77=Params!$I$3,IFERROR(FIND(BB$1,'NFR repository'!$U77)&gt;0,FALSE)),'NFR repository'!$I77,0)</f>
        <v>0</v>
      </c>
      <c r="BC77" s="231">
        <f>IF(AND('NFR repository'!$H77=Params!$I$3,IFERROR(FIND(BC$1,'NFR repository'!$U77)&gt;0,FALSE)),'NFR repository'!$I77,0)</f>
        <v>0</v>
      </c>
      <c r="BD77" s="231">
        <f>IF(AND('NFR repository'!$H77=Params!$I$3,IFERROR(FIND(BD$1,'NFR repository'!$U77)&gt;0,FALSE)),'NFR repository'!$I77,0)</f>
        <v>0</v>
      </c>
      <c r="BE77" s="93">
        <f>IF(AND('NFR repository'!$H77=Params!$I$3,IFERROR(FIND(BE$1,'NFR repository'!$U77)&gt;0,FALSE)),'NFR repository'!$I77,0)</f>
        <v>0</v>
      </c>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row>
    <row r="78" spans="1:84" ht="60" x14ac:dyDescent="0.25">
      <c r="A78" s="1"/>
      <c r="B78" s="193" t="s">
        <v>227</v>
      </c>
      <c r="C78" s="194" t="s">
        <v>374</v>
      </c>
      <c r="D78" s="83" t="s">
        <v>814</v>
      </c>
      <c r="E78" s="36"/>
      <c r="F78" s="35" t="s">
        <v>133</v>
      </c>
      <c r="G78" s="51" t="s">
        <v>336</v>
      </c>
      <c r="H78" s="35" t="s">
        <v>472</v>
      </c>
      <c r="I78" s="72" t="s">
        <v>41</v>
      </c>
      <c r="J78" s="215"/>
      <c r="K78" s="215"/>
      <c r="L78" s="195"/>
      <c r="M78" s="51" t="s">
        <v>558</v>
      </c>
      <c r="N78" s="51" t="s">
        <v>337</v>
      </c>
      <c r="O78" s="51" t="s">
        <v>573</v>
      </c>
      <c r="P78" s="51" t="s">
        <v>577</v>
      </c>
      <c r="Q78" s="51" t="s">
        <v>46</v>
      </c>
      <c r="R78" s="51" t="s">
        <v>46</v>
      </c>
      <c r="S78" s="35" t="s">
        <v>46</v>
      </c>
      <c r="T78" s="35" t="s">
        <v>46</v>
      </c>
      <c r="U78" s="38" t="s">
        <v>11</v>
      </c>
      <c r="V78" s="38" t="s">
        <v>144</v>
      </c>
      <c r="W78" s="3"/>
      <c r="X78" s="3"/>
      <c r="Y78" s="3" t="s">
        <v>128</v>
      </c>
      <c r="Z78" s="3" t="s">
        <v>128</v>
      </c>
      <c r="AA78" s="3"/>
      <c r="AB78" s="3"/>
      <c r="AC78" s="3"/>
      <c r="AD78" s="3"/>
      <c r="AE78" s="3"/>
      <c r="AF78" s="3"/>
      <c r="AG78" s="3"/>
      <c r="AH78" s="3"/>
      <c r="AI78" s="3"/>
      <c r="AJ78" s="3"/>
      <c r="AK78" s="3"/>
      <c r="AL78" s="3"/>
      <c r="AM78" s="3"/>
      <c r="AN78" s="3"/>
      <c r="AO78" s="3"/>
      <c r="AP78" s="3"/>
      <c r="AQ78" s="3"/>
      <c r="AR78" s="2"/>
      <c r="AS78" s="92" t="e">
        <f ca="1">IF(AND('NFR repository'!H78=Params!$I$3,INDIRECT("'NFR repository'!L" &amp; ROW('NFR repository'!A78) &amp; "C" &amp; TEXT(24 + $AS$2,"0"),FALSE)&lt;&gt;""),'NFR repository'!I78,0)</f>
        <v>#REF!</v>
      </c>
      <c r="AT78" s="168" t="e">
        <f ca="1">IF(AND('NFR repository'!H78=Params!$I$3,INDIRECT("'NFR repository'!L" &amp; ROW('NFR repository'!R78) &amp; "C" &amp; TEXT(28 + $AT$2,"0"),FALSE)&lt;&gt;""),'NFR repository'!I78,0)</f>
        <v>#REF!</v>
      </c>
      <c r="AU78" s="168" t="e">
        <f ca="1">IF(AND('NFR repository'!H78=Params!$I$3,INDIRECT("'NFR repository'!L" &amp; ROW('NFR repository'!R78) &amp; "C" &amp; TEXT(32 + $AU$2,"0"),FALSE)&lt;&gt;""),'NFR repository'!I78,0)</f>
        <v>#REF!</v>
      </c>
      <c r="AV78" s="233" t="e">
        <f ca="1">IF(AND('NFR repository'!H78=Params!$I$3,INDIRECT("'NFR repository'!L" &amp; ROW('NFR repository'!R78) &amp; "C" &amp; TEXT(36 + $AV$2,"0"),FALSE)&lt;&gt;""),'NFR repository'!I78,0)</f>
        <v>#REF!</v>
      </c>
      <c r="AW78" s="92">
        <f>IF(AND('NFR repository'!$H78=Params!$I$3,IFERROR(FIND(AW$1,'NFR repository'!$U78)&gt;0,FALSE)),'NFR repository'!$I78,0)</f>
        <v>0</v>
      </c>
      <c r="AX78" s="231">
        <f>IF(AND('NFR repository'!$H78=Params!$I$3,Synthesis!$I$8&lt;&gt;Params!$B$17,IFERROR(FIND(AX$1,'NFR repository'!$U78)&gt;0,FALSE)),'NFR repository'!$I78,0)</f>
        <v>0</v>
      </c>
      <c r="AY78" s="231">
        <f>IF(AND('NFR repository'!$H78=Params!$I$3,IFERROR(FIND(AY$1,'NFR repository'!$U78)&gt;0,FALSE)),'NFR repository'!$I78,0)</f>
        <v>0</v>
      </c>
      <c r="AZ78" s="231">
        <f>IF(AND('NFR repository'!$H78=Params!$I$3,IFERROR(FIND(AZ$1,'NFR repository'!$U78)&gt;0,FALSE)),'NFR repository'!$I78,0)</f>
        <v>0</v>
      </c>
      <c r="BA78" s="231">
        <f>IF(AND('NFR repository'!$H78=Params!$I$3,IFERROR(FIND(BA$1,'NFR repository'!$U78)&gt;0,FALSE)),'NFR repository'!$I78,0)</f>
        <v>0</v>
      </c>
      <c r="BB78" s="231">
        <f>IF(AND('NFR repository'!$H78=Params!$I$3,IFERROR(FIND(BB$1,'NFR repository'!$U78)&gt;0,FALSE)),'NFR repository'!$I78,0)</f>
        <v>0</v>
      </c>
      <c r="BC78" s="231">
        <f>IF(AND('NFR repository'!$H78=Params!$I$3,IFERROR(FIND(BC$1,'NFR repository'!$U78)&gt;0,FALSE)),'NFR repository'!$I78,0)</f>
        <v>0</v>
      </c>
      <c r="BD78" s="231">
        <f>IF(AND('NFR repository'!$H78=Params!$I$3,IFERROR(FIND(BD$1,'NFR repository'!$U78)&gt;0,FALSE)),'NFR repository'!$I78,0)</f>
        <v>0</v>
      </c>
      <c r="BE78" s="93">
        <f>IF(AND('NFR repository'!$H78=Params!$I$3,IFERROR(FIND(BE$1,'NFR repository'!$U78)&gt;0,FALSE)),'NFR repository'!$I78,0)</f>
        <v>0</v>
      </c>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row>
    <row r="79" spans="1:84" ht="45" x14ac:dyDescent="0.25">
      <c r="A79" s="1"/>
      <c r="B79" s="193" t="s">
        <v>228</v>
      </c>
      <c r="C79" s="194" t="s">
        <v>375</v>
      </c>
      <c r="D79" s="36" t="s">
        <v>137</v>
      </c>
      <c r="E79" s="36"/>
      <c r="F79" s="38" t="s">
        <v>585</v>
      </c>
      <c r="G79" s="51" t="s">
        <v>583</v>
      </c>
      <c r="H79" s="35" t="s">
        <v>472</v>
      </c>
      <c r="I79" s="72" t="s">
        <v>41</v>
      </c>
      <c r="J79" s="215"/>
      <c r="K79" s="215"/>
      <c r="L79" s="195"/>
      <c r="M79" s="79" t="s">
        <v>130</v>
      </c>
      <c r="N79" s="80" t="s">
        <v>139</v>
      </c>
      <c r="O79" s="51" t="s">
        <v>576</v>
      </c>
      <c r="P79" s="51" t="s">
        <v>577</v>
      </c>
      <c r="Q79" s="51" t="s">
        <v>151</v>
      </c>
      <c r="R79" s="51" t="s">
        <v>151</v>
      </c>
      <c r="S79" s="35" t="s">
        <v>154</v>
      </c>
      <c r="T79" s="35" t="s">
        <v>46</v>
      </c>
      <c r="U79" s="35" t="s">
        <v>597</v>
      </c>
      <c r="V79" s="35" t="s">
        <v>591</v>
      </c>
      <c r="W79" s="3"/>
      <c r="X79" s="3"/>
      <c r="Y79" s="11" t="s">
        <v>128</v>
      </c>
      <c r="Z79" s="11" t="s">
        <v>128</v>
      </c>
      <c r="AA79" s="3"/>
      <c r="AB79" s="3"/>
      <c r="AC79" s="3"/>
      <c r="AD79" s="3"/>
      <c r="AE79" s="3"/>
      <c r="AF79" s="3"/>
      <c r="AG79" s="3"/>
      <c r="AH79" s="3"/>
      <c r="AI79" s="3"/>
      <c r="AJ79" s="3"/>
      <c r="AK79" s="3"/>
      <c r="AL79" s="3"/>
      <c r="AM79" s="3"/>
      <c r="AN79" s="3"/>
      <c r="AO79" s="3"/>
      <c r="AP79" s="3"/>
      <c r="AQ79" s="3"/>
      <c r="AR79" s="2"/>
      <c r="AS79" s="92" t="e">
        <f ca="1">IF(AND('NFR repository'!H79=Params!$I$3,INDIRECT("'NFR repository'!L" &amp; ROW('NFR repository'!A79) &amp; "C" &amp; TEXT(24 + $AS$2,"0"),FALSE)&lt;&gt;""),'NFR repository'!I79,0)</f>
        <v>#REF!</v>
      </c>
      <c r="AT79" s="168" t="e">
        <f ca="1">IF(AND('NFR repository'!H79=Params!$I$3,INDIRECT("'NFR repository'!L" &amp; ROW('NFR repository'!R79) &amp; "C" &amp; TEXT(28 + $AT$2,"0"),FALSE)&lt;&gt;""),'NFR repository'!I79,0)</f>
        <v>#REF!</v>
      </c>
      <c r="AU79" s="168" t="e">
        <f ca="1">IF(AND('NFR repository'!H79=Params!$I$3,INDIRECT("'NFR repository'!L" &amp; ROW('NFR repository'!R79) &amp; "C" &amp; TEXT(32 + $AU$2,"0"),FALSE)&lt;&gt;""),'NFR repository'!I79,0)</f>
        <v>#REF!</v>
      </c>
      <c r="AV79" s="233" t="e">
        <f ca="1">IF(AND('NFR repository'!H79=Params!$I$3,INDIRECT("'NFR repository'!L" &amp; ROW('NFR repository'!R79) &amp; "C" &amp; TEXT(36 + $AV$2,"0"),FALSE)&lt;&gt;""),'NFR repository'!I79,0)</f>
        <v>#REF!</v>
      </c>
      <c r="AW79" s="92">
        <f>IF(AND('NFR repository'!$H79=Params!$I$3,IFERROR(FIND(AW$1,'NFR repository'!$U79)&gt;0,FALSE)),'NFR repository'!$I79,0)</f>
        <v>0</v>
      </c>
      <c r="AX79" s="231">
        <f>IF(AND('NFR repository'!$H79=Params!$I$3,Synthesis!$I$8&lt;&gt;Params!$B$17,IFERROR(FIND(AX$1,'NFR repository'!$U79)&gt;0,FALSE)),'NFR repository'!$I79,0)</f>
        <v>0</v>
      </c>
      <c r="AY79" s="231">
        <f>IF(AND('NFR repository'!$H79=Params!$I$3,IFERROR(FIND(AY$1,'NFR repository'!$U79)&gt;0,FALSE)),'NFR repository'!$I79,0)</f>
        <v>0</v>
      </c>
      <c r="AZ79" s="231">
        <f>IF(AND('NFR repository'!$H79=Params!$I$3,IFERROR(FIND(AZ$1,'NFR repository'!$U79)&gt;0,FALSE)),'NFR repository'!$I79,0)</f>
        <v>0</v>
      </c>
      <c r="BA79" s="231">
        <f>IF(AND('NFR repository'!$H79=Params!$I$3,IFERROR(FIND(BA$1,'NFR repository'!$U79)&gt;0,FALSE)),'NFR repository'!$I79,0)</f>
        <v>0</v>
      </c>
      <c r="BB79" s="231">
        <f>IF(AND('NFR repository'!$H79=Params!$I$3,IFERROR(FIND(BB$1,'NFR repository'!$U79)&gt;0,FALSE)),'NFR repository'!$I79,0)</f>
        <v>0</v>
      </c>
      <c r="BC79" s="231">
        <f>IF(AND('NFR repository'!$H79=Params!$I$3,IFERROR(FIND(BC$1,'NFR repository'!$U79)&gt;0,FALSE)),'NFR repository'!$I79,0)</f>
        <v>0</v>
      </c>
      <c r="BD79" s="231">
        <f>IF(AND('NFR repository'!$H79=Params!$I$3,IFERROR(FIND(BD$1,'NFR repository'!$U79)&gt;0,FALSE)),'NFR repository'!$I79,0)</f>
        <v>0</v>
      </c>
      <c r="BE79" s="93">
        <f>IF(AND('NFR repository'!$H79=Params!$I$3,IFERROR(FIND(BE$1,'NFR repository'!$U79)&gt;0,FALSE)),'NFR repository'!$I79,0)</f>
        <v>0</v>
      </c>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row>
    <row r="80" spans="1:84" ht="15.75" x14ac:dyDescent="0.25">
      <c r="A80" s="1"/>
      <c r="B80" s="52" t="s">
        <v>80</v>
      </c>
      <c r="C80" s="39" t="s">
        <v>61</v>
      </c>
      <c r="D80" s="88"/>
      <c r="E80" s="88"/>
      <c r="F80" s="41"/>
      <c r="G80" s="77"/>
      <c r="H80" s="41"/>
      <c r="I80" s="50"/>
      <c r="J80" s="218"/>
      <c r="K80" s="218"/>
      <c r="L80" s="205"/>
      <c r="M80" s="77"/>
      <c r="N80" s="77"/>
      <c r="O80" s="77"/>
      <c r="P80" s="77"/>
      <c r="Q80" s="77"/>
      <c r="R80" s="77"/>
      <c r="S80" s="41"/>
      <c r="T80" s="41"/>
      <c r="U80" s="41"/>
      <c r="V80" s="41"/>
      <c r="W80" s="4"/>
      <c r="X80" s="4"/>
      <c r="Y80" s="4"/>
      <c r="Z80" s="4"/>
      <c r="AA80" s="4"/>
      <c r="AB80" s="4"/>
      <c r="AC80" s="4"/>
      <c r="AD80" s="4"/>
      <c r="AE80" s="4"/>
      <c r="AF80" s="4"/>
      <c r="AG80" s="4"/>
      <c r="AH80" s="4"/>
      <c r="AI80" s="4"/>
      <c r="AJ80" s="4"/>
      <c r="AK80" s="4"/>
      <c r="AL80" s="4"/>
      <c r="AM80" s="4"/>
      <c r="AN80" s="4"/>
      <c r="AO80" s="4"/>
      <c r="AP80" s="4"/>
      <c r="AQ80" s="4"/>
      <c r="AR80" s="2"/>
      <c r="AS80" s="92" t="e">
        <f ca="1">IF(AND('NFR repository'!H80=Params!$I$3,INDIRECT("'NFR repository'!L" &amp; ROW('NFR repository'!A80) &amp; "C" &amp; TEXT(24 + $AS$2,"0"),FALSE)&lt;&gt;""),'NFR repository'!I80,0)</f>
        <v>#REF!</v>
      </c>
      <c r="AT80" s="168" t="e">
        <f ca="1">IF(AND('NFR repository'!H80=Params!$I$3,INDIRECT("'NFR repository'!L" &amp; ROW('NFR repository'!R80) &amp; "C" &amp; TEXT(28 + $AT$2,"0"),FALSE)&lt;&gt;""),'NFR repository'!I80,0)</f>
        <v>#REF!</v>
      </c>
      <c r="AU80" s="168" t="e">
        <f ca="1">IF(AND('NFR repository'!H80=Params!$I$3,INDIRECT("'NFR repository'!L" &amp; ROW('NFR repository'!R80) &amp; "C" &amp; TEXT(32 + $AU$2,"0"),FALSE)&lt;&gt;""),'NFR repository'!I80,0)</f>
        <v>#REF!</v>
      </c>
      <c r="AV80" s="233" t="e">
        <f ca="1">IF(AND('NFR repository'!H80=Params!$I$3,INDIRECT("'NFR repository'!L" &amp; ROW('NFR repository'!R80) &amp; "C" &amp; TEXT(36 + $AV$2,"0"),FALSE)&lt;&gt;""),'NFR repository'!I80,0)</f>
        <v>#REF!</v>
      </c>
      <c r="AW80" s="92">
        <f>IF(AND('NFR repository'!$H80=Params!$I$3,IFERROR(FIND(AW$1,'NFR repository'!$U80)&gt;0,FALSE)),'NFR repository'!$I80,0)</f>
        <v>0</v>
      </c>
      <c r="AX80" s="231">
        <f>IF(AND('NFR repository'!$H80=Params!$I$3,Synthesis!$I$8&lt;&gt;Params!$B$17,IFERROR(FIND(AX$1,'NFR repository'!$U80)&gt;0,FALSE)),'NFR repository'!$I80,0)</f>
        <v>0</v>
      </c>
      <c r="AY80" s="231">
        <f>IF(AND('NFR repository'!$H80=Params!$I$3,IFERROR(FIND(AY$1,'NFR repository'!$U80)&gt;0,FALSE)),'NFR repository'!$I80,0)</f>
        <v>0</v>
      </c>
      <c r="AZ80" s="231">
        <f>IF(AND('NFR repository'!$H80=Params!$I$3,IFERROR(FIND(AZ$1,'NFR repository'!$U80)&gt;0,FALSE)),'NFR repository'!$I80,0)</f>
        <v>0</v>
      </c>
      <c r="BA80" s="231">
        <f>IF(AND('NFR repository'!$H80=Params!$I$3,IFERROR(FIND(BA$1,'NFR repository'!$U80)&gt;0,FALSE)),'NFR repository'!$I80,0)</f>
        <v>0</v>
      </c>
      <c r="BB80" s="231">
        <f>IF(AND('NFR repository'!$H80=Params!$I$3,IFERROR(FIND(BB$1,'NFR repository'!$U80)&gt;0,FALSE)),'NFR repository'!$I80,0)</f>
        <v>0</v>
      </c>
      <c r="BC80" s="231">
        <f>IF(AND('NFR repository'!$H80=Params!$I$3,IFERROR(FIND(BC$1,'NFR repository'!$U80)&gt;0,FALSE)),'NFR repository'!$I80,0)</f>
        <v>0</v>
      </c>
      <c r="BD80" s="231">
        <f>IF(AND('NFR repository'!$H80=Params!$I$3,IFERROR(FIND(BD$1,'NFR repository'!$U80)&gt;0,FALSE)),'NFR repository'!$I80,0)</f>
        <v>0</v>
      </c>
      <c r="BE80" s="93">
        <f>IF(AND('NFR repository'!$H80=Params!$I$3,IFERROR(FIND(BE$1,'NFR repository'!$U80)&gt;0,FALSE)),'NFR repository'!$I80,0)</f>
        <v>0</v>
      </c>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row>
    <row r="81" spans="1:84" ht="60" x14ac:dyDescent="0.25">
      <c r="A81" s="1"/>
      <c r="B81" s="193" t="s">
        <v>229</v>
      </c>
      <c r="C81" s="194" t="s">
        <v>376</v>
      </c>
      <c r="D81" s="36" t="s">
        <v>137</v>
      </c>
      <c r="E81" s="36" t="s">
        <v>835</v>
      </c>
      <c r="F81" s="35" t="s">
        <v>593</v>
      </c>
      <c r="G81" s="51" t="s">
        <v>583</v>
      </c>
      <c r="H81" s="35" t="s">
        <v>472</v>
      </c>
      <c r="I81" s="72" t="s">
        <v>41</v>
      </c>
      <c r="J81" s="215"/>
      <c r="K81" s="215"/>
      <c r="L81" s="195"/>
      <c r="M81" s="79" t="s">
        <v>130</v>
      </c>
      <c r="N81" s="80" t="s">
        <v>657</v>
      </c>
      <c r="O81" s="51" t="s">
        <v>576</v>
      </c>
      <c r="P81" s="51" t="s">
        <v>577</v>
      </c>
      <c r="Q81" s="51" t="s">
        <v>151</v>
      </c>
      <c r="R81" s="51" t="s">
        <v>151</v>
      </c>
      <c r="S81" s="35" t="s">
        <v>155</v>
      </c>
      <c r="T81" s="35" t="s">
        <v>46</v>
      </c>
      <c r="U81" s="35" t="s">
        <v>716</v>
      </c>
      <c r="V81" s="35" t="s">
        <v>591</v>
      </c>
      <c r="W81" s="11" t="s">
        <v>128</v>
      </c>
      <c r="X81" s="11" t="s">
        <v>128</v>
      </c>
      <c r="Y81" s="11" t="s">
        <v>128</v>
      </c>
      <c r="Z81" s="11" t="s">
        <v>128</v>
      </c>
      <c r="AA81" s="3"/>
      <c r="AB81" s="3"/>
      <c r="AC81" s="3"/>
      <c r="AD81" s="3"/>
      <c r="AE81" s="3"/>
      <c r="AF81" s="3"/>
      <c r="AG81" s="3"/>
      <c r="AH81" s="3"/>
      <c r="AI81" s="3"/>
      <c r="AJ81" s="3"/>
      <c r="AK81" s="3"/>
      <c r="AL81" s="3"/>
      <c r="AM81" s="3"/>
      <c r="AN81" s="3"/>
      <c r="AO81" s="3" t="s">
        <v>128</v>
      </c>
      <c r="AP81" s="3"/>
      <c r="AQ81" s="3"/>
      <c r="AR81" s="2"/>
      <c r="AS81" s="92" t="e">
        <f ca="1">IF(AND('NFR repository'!H81=Params!$I$3,INDIRECT("'NFR repository'!L" &amp; ROW('NFR repository'!A81) &amp; "C" &amp; TEXT(24 + $AS$2,"0"),FALSE)&lt;&gt;""),'NFR repository'!I81,0)</f>
        <v>#REF!</v>
      </c>
      <c r="AT81" s="168" t="e">
        <f ca="1">IF(AND('NFR repository'!H81=Params!$I$3,INDIRECT("'NFR repository'!L" &amp; ROW('NFR repository'!R81) &amp; "C" &amp; TEXT(28 + $AT$2,"0"),FALSE)&lt;&gt;""),'NFR repository'!I81,0)</f>
        <v>#REF!</v>
      </c>
      <c r="AU81" s="168" t="e">
        <f ca="1">IF(AND('NFR repository'!H81=Params!$I$3,INDIRECT("'NFR repository'!L" &amp; ROW('NFR repository'!R81) &amp; "C" &amp; TEXT(32 + $AU$2,"0"),FALSE)&lt;&gt;""),'NFR repository'!I81,0)</f>
        <v>#REF!</v>
      </c>
      <c r="AV81" s="233" t="e">
        <f ca="1">IF(AND('NFR repository'!H81=Params!$I$3,INDIRECT("'NFR repository'!L" &amp; ROW('NFR repository'!R81) &amp; "C" &amp; TEXT(36 + $AV$2,"0"),FALSE)&lt;&gt;""),'NFR repository'!I81,0)</f>
        <v>#REF!</v>
      </c>
      <c r="AW81" s="92">
        <f>IF(AND('NFR repository'!$H81=Params!$I$3,IFERROR(FIND(AW$1,'NFR repository'!$U81)&gt;0,FALSE)),'NFR repository'!$I81,0)</f>
        <v>0</v>
      </c>
      <c r="AX81" s="231">
        <f>IF(AND('NFR repository'!$H81=Params!$I$3,Synthesis!$I$8&lt;&gt;Params!$B$17,IFERROR(FIND(AX$1,'NFR repository'!$U81)&gt;0,FALSE)),'NFR repository'!$I81,0)</f>
        <v>0</v>
      </c>
      <c r="AY81" s="231">
        <f>IF(AND('NFR repository'!$H81=Params!$I$3,IFERROR(FIND(AY$1,'NFR repository'!$U81)&gt;0,FALSE)),'NFR repository'!$I81,0)</f>
        <v>0</v>
      </c>
      <c r="AZ81" s="231">
        <f>IF(AND('NFR repository'!$H81=Params!$I$3,IFERROR(FIND(AZ$1,'NFR repository'!$U81)&gt;0,FALSE)),'NFR repository'!$I81,0)</f>
        <v>0</v>
      </c>
      <c r="BA81" s="231">
        <f>IF(AND('NFR repository'!$H81=Params!$I$3,IFERROR(FIND(BA$1,'NFR repository'!$U81)&gt;0,FALSE)),'NFR repository'!$I81,0)</f>
        <v>0</v>
      </c>
      <c r="BB81" s="231">
        <f>IF(AND('NFR repository'!$H81=Params!$I$3,IFERROR(FIND(BB$1,'NFR repository'!$U81)&gt;0,FALSE)),'NFR repository'!$I81,0)</f>
        <v>0</v>
      </c>
      <c r="BC81" s="231">
        <f>IF(AND('NFR repository'!$H81=Params!$I$3,IFERROR(FIND(BC$1,'NFR repository'!$U81)&gt;0,FALSE)),'NFR repository'!$I81,0)</f>
        <v>0</v>
      </c>
      <c r="BD81" s="231">
        <f>IF(AND('NFR repository'!$H81=Params!$I$3,IFERROR(FIND(BD$1,'NFR repository'!$U81)&gt;0,FALSE)),'NFR repository'!$I81,0)</f>
        <v>0</v>
      </c>
      <c r="BE81" s="93">
        <f>IF(AND('NFR repository'!$H81=Params!$I$3,IFERROR(FIND(BE$1,'NFR repository'!$U81)&gt;0,FALSE)),'NFR repository'!$I81,0)</f>
        <v>0</v>
      </c>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row>
    <row r="82" spans="1:84" ht="45" x14ac:dyDescent="0.25">
      <c r="A82" s="1"/>
      <c r="B82" s="193" t="s">
        <v>379</v>
      </c>
      <c r="C82" s="194" t="s">
        <v>377</v>
      </c>
      <c r="D82" s="36" t="s">
        <v>137</v>
      </c>
      <c r="E82" s="36"/>
      <c r="F82" s="35" t="s">
        <v>586</v>
      </c>
      <c r="G82" s="51" t="s">
        <v>583</v>
      </c>
      <c r="H82" s="35" t="s">
        <v>472</v>
      </c>
      <c r="I82" s="72" t="s">
        <v>41</v>
      </c>
      <c r="J82" s="215"/>
      <c r="K82" s="215"/>
      <c r="L82" s="195"/>
      <c r="M82" s="79" t="s">
        <v>130</v>
      </c>
      <c r="N82" s="51" t="s">
        <v>658</v>
      </c>
      <c r="O82" s="51" t="s">
        <v>576</v>
      </c>
      <c r="P82" s="51" t="s">
        <v>577</v>
      </c>
      <c r="Q82" s="51" t="s">
        <v>151</v>
      </c>
      <c r="R82" s="51" t="s">
        <v>159</v>
      </c>
      <c r="S82" s="35" t="s">
        <v>161</v>
      </c>
      <c r="T82" s="35" t="s">
        <v>46</v>
      </c>
      <c r="U82" s="35" t="s">
        <v>591</v>
      </c>
      <c r="V82" s="35" t="s">
        <v>591</v>
      </c>
      <c r="W82" s="3"/>
      <c r="X82" s="3"/>
      <c r="Y82" s="3"/>
      <c r="Z82" s="3"/>
      <c r="AA82" s="3"/>
      <c r="AB82" s="3"/>
      <c r="AC82" s="3"/>
      <c r="AD82" s="3"/>
      <c r="AE82" s="3"/>
      <c r="AF82" s="3"/>
      <c r="AG82" s="3"/>
      <c r="AH82" s="3"/>
      <c r="AI82" s="3"/>
      <c r="AJ82" s="3"/>
      <c r="AK82" s="3"/>
      <c r="AL82" s="3"/>
      <c r="AM82" s="3"/>
      <c r="AN82" s="3"/>
      <c r="AO82" s="3"/>
      <c r="AP82" s="3"/>
      <c r="AQ82" s="3"/>
      <c r="AR82" s="2"/>
      <c r="AS82" s="92" t="e">
        <f ca="1">IF(AND('NFR repository'!H82=Params!$I$3,INDIRECT("'NFR repository'!L" &amp; ROW('NFR repository'!A82) &amp; "C" &amp; TEXT(24 + $AS$2,"0"),FALSE)&lt;&gt;""),'NFR repository'!I82,0)</f>
        <v>#REF!</v>
      </c>
      <c r="AT82" s="168" t="e">
        <f ca="1">IF(AND('NFR repository'!H82=Params!$I$3,INDIRECT("'NFR repository'!L" &amp; ROW('NFR repository'!R82) &amp; "C" &amp; TEXT(28 + $AT$2,"0"),FALSE)&lt;&gt;""),'NFR repository'!I82,0)</f>
        <v>#REF!</v>
      </c>
      <c r="AU82" s="168" t="e">
        <f ca="1">IF(AND('NFR repository'!H82=Params!$I$3,INDIRECT("'NFR repository'!L" &amp; ROW('NFR repository'!R82) &amp; "C" &amp; TEXT(32 + $AU$2,"0"),FALSE)&lt;&gt;""),'NFR repository'!I82,0)</f>
        <v>#REF!</v>
      </c>
      <c r="AV82" s="233" t="e">
        <f ca="1">IF(AND('NFR repository'!H82=Params!$I$3,INDIRECT("'NFR repository'!L" &amp; ROW('NFR repository'!R82) &amp; "C" &amp; TEXT(36 + $AV$2,"0"),FALSE)&lt;&gt;""),'NFR repository'!I82,0)</f>
        <v>#REF!</v>
      </c>
      <c r="AW82" s="92">
        <f>IF(AND('NFR repository'!$H82=Params!$I$3,IFERROR(FIND(AW$1,'NFR repository'!$U82)&gt;0,FALSE)),'NFR repository'!$I82,0)</f>
        <v>0</v>
      </c>
      <c r="AX82" s="231">
        <f>IF(AND('NFR repository'!$H82=Params!$I$3,Synthesis!$I$8&lt;&gt;Params!$B$17,IFERROR(FIND(AX$1,'NFR repository'!$U82)&gt;0,FALSE)),'NFR repository'!$I82,0)</f>
        <v>0</v>
      </c>
      <c r="AY82" s="231">
        <f>IF(AND('NFR repository'!$H82=Params!$I$3,IFERROR(FIND(AY$1,'NFR repository'!$U82)&gt;0,FALSE)),'NFR repository'!$I82,0)</f>
        <v>0</v>
      </c>
      <c r="AZ82" s="231">
        <f>IF(AND('NFR repository'!$H82=Params!$I$3,IFERROR(FIND(AZ$1,'NFR repository'!$U82)&gt;0,FALSE)),'NFR repository'!$I82,0)</f>
        <v>0</v>
      </c>
      <c r="BA82" s="231">
        <f>IF(AND('NFR repository'!$H82=Params!$I$3,IFERROR(FIND(BA$1,'NFR repository'!$U82)&gt;0,FALSE)),'NFR repository'!$I82,0)</f>
        <v>0</v>
      </c>
      <c r="BB82" s="231">
        <f>IF(AND('NFR repository'!$H82=Params!$I$3,IFERROR(FIND(BB$1,'NFR repository'!$U82)&gt;0,FALSE)),'NFR repository'!$I82,0)</f>
        <v>0</v>
      </c>
      <c r="BC82" s="231">
        <f>IF(AND('NFR repository'!$H82=Params!$I$3,IFERROR(FIND(BC$1,'NFR repository'!$U82)&gt;0,FALSE)),'NFR repository'!$I82,0)</f>
        <v>0</v>
      </c>
      <c r="BD82" s="231">
        <f>IF(AND('NFR repository'!$H82=Params!$I$3,IFERROR(FIND(BD$1,'NFR repository'!$U82)&gt;0,FALSE)),'NFR repository'!$I82,0)</f>
        <v>0</v>
      </c>
      <c r="BE82" s="93">
        <f>IF(AND('NFR repository'!$H82=Params!$I$3,IFERROR(FIND(BE$1,'NFR repository'!$U82)&gt;0,FALSE)),'NFR repository'!$I82,0)</f>
        <v>0</v>
      </c>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row>
    <row r="83" spans="1:84" ht="45" x14ac:dyDescent="0.25">
      <c r="A83" s="1"/>
      <c r="B83" s="193" t="s">
        <v>230</v>
      </c>
      <c r="C83" s="194" t="s">
        <v>378</v>
      </c>
      <c r="D83" s="36" t="s">
        <v>137</v>
      </c>
      <c r="E83" s="36"/>
      <c r="F83" s="35" t="s">
        <v>748</v>
      </c>
      <c r="G83" s="51" t="s">
        <v>742</v>
      </c>
      <c r="H83" s="35" t="s">
        <v>472</v>
      </c>
      <c r="I83" s="72" t="s">
        <v>41</v>
      </c>
      <c r="J83" s="215"/>
      <c r="K83" s="215"/>
      <c r="L83" s="195"/>
      <c r="M83" s="51" t="s">
        <v>558</v>
      </c>
      <c r="N83" s="51" t="s">
        <v>570</v>
      </c>
      <c r="O83" s="51" t="s">
        <v>575</v>
      </c>
      <c r="P83" s="51" t="s">
        <v>577</v>
      </c>
      <c r="Q83" s="51" t="s">
        <v>156</v>
      </c>
      <c r="R83" s="51" t="s">
        <v>160</v>
      </c>
      <c r="S83" s="35" t="s">
        <v>162</v>
      </c>
      <c r="T83" s="35" t="s">
        <v>46</v>
      </c>
      <c r="U83" s="35" t="s">
        <v>146</v>
      </c>
      <c r="V83" s="35" t="s">
        <v>146</v>
      </c>
      <c r="W83" s="3"/>
      <c r="X83" s="3"/>
      <c r="Y83" s="3"/>
      <c r="Z83" s="3"/>
      <c r="AA83" s="3"/>
      <c r="AB83" s="3"/>
      <c r="AC83" s="3"/>
      <c r="AD83" s="3"/>
      <c r="AE83" s="3"/>
      <c r="AF83" s="3"/>
      <c r="AG83" s="3"/>
      <c r="AH83" s="3"/>
      <c r="AI83" s="3"/>
      <c r="AJ83" s="3"/>
      <c r="AK83" s="3"/>
      <c r="AL83" s="3"/>
      <c r="AM83" s="3"/>
      <c r="AN83" s="3"/>
      <c r="AO83" s="3"/>
      <c r="AP83" s="3"/>
      <c r="AQ83" s="3"/>
      <c r="AR83" s="2"/>
      <c r="AS83" s="92" t="e">
        <f ca="1">IF(AND('NFR repository'!H83=Params!$I$3,INDIRECT("'NFR repository'!L" &amp; ROW('NFR repository'!A83) &amp; "C" &amp; TEXT(24 + $AS$2,"0"),FALSE)&lt;&gt;""),'NFR repository'!I83,0)</f>
        <v>#REF!</v>
      </c>
      <c r="AT83" s="168" t="e">
        <f ca="1">IF(AND('NFR repository'!H83=Params!$I$3,INDIRECT("'NFR repository'!L" &amp; ROW('NFR repository'!R83) &amp; "C" &amp; TEXT(28 + $AT$2,"0"),FALSE)&lt;&gt;""),'NFR repository'!I83,0)</f>
        <v>#REF!</v>
      </c>
      <c r="AU83" s="168" t="e">
        <f ca="1">IF(AND('NFR repository'!H83=Params!$I$3,INDIRECT("'NFR repository'!L" &amp; ROW('NFR repository'!R83) &amp; "C" &amp; TEXT(32 + $AU$2,"0"),FALSE)&lt;&gt;""),'NFR repository'!I83,0)</f>
        <v>#REF!</v>
      </c>
      <c r="AV83" s="233" t="e">
        <f ca="1">IF(AND('NFR repository'!H83=Params!$I$3,INDIRECT("'NFR repository'!L" &amp; ROW('NFR repository'!R83) &amp; "C" &amp; TEXT(36 + $AV$2,"0"),FALSE)&lt;&gt;""),'NFR repository'!I83,0)</f>
        <v>#REF!</v>
      </c>
      <c r="AW83" s="92">
        <f>IF(AND('NFR repository'!$H83=Params!$I$3,IFERROR(FIND(AW$1,'NFR repository'!$U83)&gt;0,FALSE)),'NFR repository'!$I83,0)</f>
        <v>0</v>
      </c>
      <c r="AX83" s="231">
        <f>IF(AND('NFR repository'!$H83=Params!$I$3,Synthesis!$I$8&lt;&gt;Params!$B$17,IFERROR(FIND(AX$1,'NFR repository'!$U83)&gt;0,FALSE)),'NFR repository'!$I83,0)</f>
        <v>0</v>
      </c>
      <c r="AY83" s="231">
        <f>IF(AND('NFR repository'!$H83=Params!$I$3,IFERROR(FIND(AY$1,'NFR repository'!$U83)&gt;0,FALSE)),'NFR repository'!$I83,0)</f>
        <v>0</v>
      </c>
      <c r="AZ83" s="231">
        <f>IF(AND('NFR repository'!$H83=Params!$I$3,IFERROR(FIND(AZ$1,'NFR repository'!$U83)&gt;0,FALSE)),'NFR repository'!$I83,0)</f>
        <v>0</v>
      </c>
      <c r="BA83" s="231">
        <f>IF(AND('NFR repository'!$H83=Params!$I$3,IFERROR(FIND(BA$1,'NFR repository'!$U83)&gt;0,FALSE)),'NFR repository'!$I83,0)</f>
        <v>0</v>
      </c>
      <c r="BB83" s="231">
        <f>IF(AND('NFR repository'!$H83=Params!$I$3,IFERROR(FIND(BB$1,'NFR repository'!$U83)&gt;0,FALSE)),'NFR repository'!$I83,0)</f>
        <v>0</v>
      </c>
      <c r="BC83" s="231">
        <f>IF(AND('NFR repository'!$H83=Params!$I$3,IFERROR(FIND(BC$1,'NFR repository'!$U83)&gt;0,FALSE)),'NFR repository'!$I83,0)</f>
        <v>0</v>
      </c>
      <c r="BD83" s="231">
        <f>IF(AND('NFR repository'!$H83=Params!$I$3,IFERROR(FIND(BD$1,'NFR repository'!$U83)&gt;0,FALSE)),'NFR repository'!$I83,0)</f>
        <v>0</v>
      </c>
      <c r="BE83" s="93">
        <f>IF(AND('NFR repository'!$H83=Params!$I$3,IFERROR(FIND(BE$1,'NFR repository'!$U83)&gt;0,FALSE)),'NFR repository'!$I83,0)</f>
        <v>0</v>
      </c>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row>
    <row r="84" spans="1:84" ht="45" x14ac:dyDescent="0.25">
      <c r="A84" s="1"/>
      <c r="B84" s="193" t="s">
        <v>444</v>
      </c>
      <c r="C84" s="194" t="s">
        <v>380</v>
      </c>
      <c r="D84" s="36" t="s">
        <v>137</v>
      </c>
      <c r="E84" s="36"/>
      <c r="F84" s="35" t="s">
        <v>333</v>
      </c>
      <c r="G84" s="51" t="s">
        <v>583</v>
      </c>
      <c r="H84" s="35" t="s">
        <v>472</v>
      </c>
      <c r="I84" s="72" t="s">
        <v>41</v>
      </c>
      <c r="J84" s="215"/>
      <c r="K84" s="215"/>
      <c r="L84" s="195"/>
      <c r="M84" s="51" t="s">
        <v>558</v>
      </c>
      <c r="N84" s="51" t="s">
        <v>659</v>
      </c>
      <c r="O84" s="51" t="s">
        <v>573</v>
      </c>
      <c r="P84" s="51" t="s">
        <v>577</v>
      </c>
      <c r="Q84" s="51" t="s">
        <v>156</v>
      </c>
      <c r="R84" s="51" t="s">
        <v>158</v>
      </c>
      <c r="S84" s="35" t="s">
        <v>46</v>
      </c>
      <c r="T84" s="35" t="s">
        <v>334</v>
      </c>
      <c r="U84" s="35" t="s">
        <v>335</v>
      </c>
      <c r="V84" s="35" t="s">
        <v>335</v>
      </c>
      <c r="W84" s="3"/>
      <c r="X84" s="3"/>
      <c r="Y84" s="3"/>
      <c r="Z84" s="3"/>
      <c r="AA84" s="3"/>
      <c r="AB84" s="3"/>
      <c r="AC84" s="3"/>
      <c r="AD84" s="3"/>
      <c r="AE84" s="3"/>
      <c r="AF84" s="3"/>
      <c r="AG84" s="3"/>
      <c r="AH84" s="3"/>
      <c r="AI84" s="3"/>
      <c r="AJ84" s="3"/>
      <c r="AK84" s="3"/>
      <c r="AL84" s="3"/>
      <c r="AM84" s="3">
        <v>1</v>
      </c>
      <c r="AN84" s="3"/>
      <c r="AO84" s="3"/>
      <c r="AP84" s="3"/>
      <c r="AQ84" s="3"/>
      <c r="AR84" s="2"/>
      <c r="AS84" s="92" t="e">
        <f ca="1">IF(AND('NFR repository'!H84=Params!$I$3,INDIRECT("'NFR repository'!L" &amp; ROW('NFR repository'!A84) &amp; "C" &amp; TEXT(24 + $AS$2,"0"),FALSE)&lt;&gt;""),'NFR repository'!I84,0)</f>
        <v>#REF!</v>
      </c>
      <c r="AT84" s="168" t="e">
        <f ca="1">IF(AND('NFR repository'!H84=Params!$I$3,INDIRECT("'NFR repository'!L" &amp; ROW('NFR repository'!R84) &amp; "C" &amp; TEXT(28 + $AT$2,"0"),FALSE)&lt;&gt;""),'NFR repository'!I84,0)</f>
        <v>#REF!</v>
      </c>
      <c r="AU84" s="168" t="e">
        <f ca="1">IF(AND('NFR repository'!H84=Params!$I$3,INDIRECT("'NFR repository'!L" &amp; ROW('NFR repository'!R84) &amp; "C" &amp; TEXT(32 + $AU$2,"0"),FALSE)&lt;&gt;""),'NFR repository'!I84,0)</f>
        <v>#REF!</v>
      </c>
      <c r="AV84" s="233" t="e">
        <f ca="1">IF(AND('NFR repository'!H84=Params!$I$3,INDIRECT("'NFR repository'!L" &amp; ROW('NFR repository'!R84) &amp; "C" &amp; TEXT(36 + $AV$2,"0"),FALSE)&lt;&gt;""),'NFR repository'!I84,0)</f>
        <v>#REF!</v>
      </c>
      <c r="AW84" s="92">
        <f>IF(AND('NFR repository'!$H84=Params!$I$3,IFERROR(FIND(AW$1,'NFR repository'!$U84)&gt;0,FALSE)),'NFR repository'!$I84,0)</f>
        <v>0</v>
      </c>
      <c r="AX84" s="231">
        <f>IF(AND('NFR repository'!$H84=Params!$I$3,Synthesis!$I$8&lt;&gt;Params!$B$17,IFERROR(FIND(AX$1,'NFR repository'!$U84)&gt;0,FALSE)),'NFR repository'!$I84,0)</f>
        <v>0</v>
      </c>
      <c r="AY84" s="231">
        <f>IF(AND('NFR repository'!$H84=Params!$I$3,IFERROR(FIND(AY$1,'NFR repository'!$U84)&gt;0,FALSE)),'NFR repository'!$I84,0)</f>
        <v>0</v>
      </c>
      <c r="AZ84" s="231">
        <f>IF(AND('NFR repository'!$H84=Params!$I$3,IFERROR(FIND(AZ$1,'NFR repository'!$U84)&gt;0,FALSE)),'NFR repository'!$I84,0)</f>
        <v>0</v>
      </c>
      <c r="BA84" s="231">
        <f>IF(AND('NFR repository'!$H84=Params!$I$3,IFERROR(FIND(BA$1,'NFR repository'!$U84)&gt;0,FALSE)),'NFR repository'!$I84,0)</f>
        <v>0</v>
      </c>
      <c r="BB84" s="231">
        <f>IF(AND('NFR repository'!$H84=Params!$I$3,IFERROR(FIND(BB$1,'NFR repository'!$U84)&gt;0,FALSE)),'NFR repository'!$I84,0)</f>
        <v>0</v>
      </c>
      <c r="BC84" s="231">
        <f>IF(AND('NFR repository'!$H84=Params!$I$3,IFERROR(FIND(BC$1,'NFR repository'!$U84)&gt;0,FALSE)),'NFR repository'!$I84,0)</f>
        <v>0</v>
      </c>
      <c r="BD84" s="231">
        <f>IF(AND('NFR repository'!$H84=Params!$I$3,IFERROR(FIND(BD$1,'NFR repository'!$U84)&gt;0,FALSE)),'NFR repository'!$I84,0)</f>
        <v>0</v>
      </c>
      <c r="BE84" s="93">
        <f>IF(AND('NFR repository'!$H84=Params!$I$3,IFERROR(FIND(BE$1,'NFR repository'!$U84)&gt;0,FALSE)),'NFR repository'!$I84,0)</f>
        <v>0</v>
      </c>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row>
    <row r="85" spans="1:84" ht="45" x14ac:dyDescent="0.25">
      <c r="A85" s="1"/>
      <c r="B85" s="193" t="s">
        <v>445</v>
      </c>
      <c r="C85" s="194" t="s">
        <v>381</v>
      </c>
      <c r="D85" s="36" t="s">
        <v>137</v>
      </c>
      <c r="E85" s="36"/>
      <c r="F85" s="35" t="s">
        <v>333</v>
      </c>
      <c r="G85" s="51" t="s">
        <v>583</v>
      </c>
      <c r="H85" s="35" t="s">
        <v>472</v>
      </c>
      <c r="I85" s="37" t="s">
        <v>41</v>
      </c>
      <c r="J85" s="215"/>
      <c r="K85" s="215"/>
      <c r="L85" s="195"/>
      <c r="M85" s="51" t="s">
        <v>558</v>
      </c>
      <c r="N85" s="51" t="s">
        <v>659</v>
      </c>
      <c r="O85" s="51" t="s">
        <v>573</v>
      </c>
      <c r="P85" s="51" t="s">
        <v>577</v>
      </c>
      <c r="Q85" s="51" t="s">
        <v>46</v>
      </c>
      <c r="R85" s="51" t="s">
        <v>46</v>
      </c>
      <c r="S85" s="35" t="s">
        <v>46</v>
      </c>
      <c r="T85" s="35" t="s">
        <v>46</v>
      </c>
      <c r="U85" s="35" t="s">
        <v>335</v>
      </c>
      <c r="V85" s="35" t="s">
        <v>335</v>
      </c>
      <c r="W85" s="3"/>
      <c r="X85" s="3"/>
      <c r="Y85" s="3"/>
      <c r="Z85" s="3"/>
      <c r="AA85" s="3"/>
      <c r="AB85" s="3"/>
      <c r="AC85" s="3"/>
      <c r="AD85" s="3"/>
      <c r="AE85" s="3"/>
      <c r="AF85" s="3"/>
      <c r="AG85" s="3"/>
      <c r="AH85" s="3"/>
      <c r="AI85" s="3"/>
      <c r="AJ85" s="3"/>
      <c r="AK85" s="3"/>
      <c r="AL85" s="3"/>
      <c r="AM85" s="3">
        <v>2</v>
      </c>
      <c r="AN85" s="3"/>
      <c r="AO85" s="3"/>
      <c r="AP85" s="3"/>
      <c r="AQ85" s="3"/>
      <c r="AR85" s="2"/>
      <c r="AS85" s="92" t="e">
        <f ca="1">IF(AND('NFR repository'!H85=Params!$I$3,INDIRECT("'NFR repository'!L" &amp; ROW('NFR repository'!A85) &amp; "C" &amp; TEXT(24 + $AS$2,"0"),FALSE)&lt;&gt;""),'NFR repository'!I85,0)</f>
        <v>#REF!</v>
      </c>
      <c r="AT85" s="168" t="e">
        <f ca="1">IF(AND('NFR repository'!H85=Params!$I$3,INDIRECT("'NFR repository'!L" &amp; ROW('NFR repository'!R85) &amp; "C" &amp; TEXT(28 + $AT$2,"0"),FALSE)&lt;&gt;""),'NFR repository'!I85,0)</f>
        <v>#REF!</v>
      </c>
      <c r="AU85" s="168" t="e">
        <f ca="1">IF(AND('NFR repository'!H85=Params!$I$3,INDIRECT("'NFR repository'!L" &amp; ROW('NFR repository'!R85) &amp; "C" &amp; TEXT(32 + $AU$2,"0"),FALSE)&lt;&gt;""),'NFR repository'!I85,0)</f>
        <v>#REF!</v>
      </c>
      <c r="AV85" s="233" t="e">
        <f ca="1">IF(AND('NFR repository'!H85=Params!$I$3,INDIRECT("'NFR repository'!L" &amp; ROW('NFR repository'!R85) &amp; "C" &amp; TEXT(36 + $AV$2,"0"),FALSE)&lt;&gt;""),'NFR repository'!I85,0)</f>
        <v>#REF!</v>
      </c>
      <c r="AW85" s="92">
        <f>IF(AND('NFR repository'!$H85=Params!$I$3,IFERROR(FIND(AW$1,'NFR repository'!$U85)&gt;0,FALSE)),'NFR repository'!$I85,0)</f>
        <v>0</v>
      </c>
      <c r="AX85" s="231">
        <f>IF(AND('NFR repository'!$H85=Params!$I$3,Synthesis!$I$8&lt;&gt;Params!$B$17,IFERROR(FIND(AX$1,'NFR repository'!$U85)&gt;0,FALSE)),'NFR repository'!$I85,0)</f>
        <v>0</v>
      </c>
      <c r="AY85" s="231">
        <f>IF(AND('NFR repository'!$H85=Params!$I$3,IFERROR(FIND(AY$1,'NFR repository'!$U85)&gt;0,FALSE)),'NFR repository'!$I85,0)</f>
        <v>0</v>
      </c>
      <c r="AZ85" s="231">
        <f>IF(AND('NFR repository'!$H85=Params!$I$3,IFERROR(FIND(AZ$1,'NFR repository'!$U85)&gt;0,FALSE)),'NFR repository'!$I85,0)</f>
        <v>0</v>
      </c>
      <c r="BA85" s="231">
        <f>IF(AND('NFR repository'!$H85=Params!$I$3,IFERROR(FIND(BA$1,'NFR repository'!$U85)&gt;0,FALSE)),'NFR repository'!$I85,0)</f>
        <v>0</v>
      </c>
      <c r="BB85" s="231">
        <f>IF(AND('NFR repository'!$H85=Params!$I$3,IFERROR(FIND(BB$1,'NFR repository'!$U85)&gt;0,FALSE)),'NFR repository'!$I85,0)</f>
        <v>0</v>
      </c>
      <c r="BC85" s="231">
        <f>IF(AND('NFR repository'!$H85=Params!$I$3,IFERROR(FIND(BC$1,'NFR repository'!$U85)&gt;0,FALSE)),'NFR repository'!$I85,0)</f>
        <v>0</v>
      </c>
      <c r="BD85" s="231">
        <f>IF(AND('NFR repository'!$H85=Params!$I$3,IFERROR(FIND(BD$1,'NFR repository'!$U85)&gt;0,FALSE)),'NFR repository'!$I85,0)</f>
        <v>0</v>
      </c>
      <c r="BE85" s="93">
        <f>IF(AND('NFR repository'!$H85=Params!$I$3,IFERROR(FIND(BE$1,'NFR repository'!$U85)&gt;0,FALSE)),'NFR repository'!$I85,0)</f>
        <v>0</v>
      </c>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row>
    <row r="86" spans="1:84" ht="45" x14ac:dyDescent="0.25">
      <c r="A86" s="1"/>
      <c r="B86" s="193" t="s">
        <v>446</v>
      </c>
      <c r="C86" s="194" t="s">
        <v>382</v>
      </c>
      <c r="D86" s="36" t="s">
        <v>137</v>
      </c>
      <c r="E86" s="36"/>
      <c r="F86" s="35" t="s">
        <v>333</v>
      </c>
      <c r="G86" s="51" t="s">
        <v>583</v>
      </c>
      <c r="H86" s="35" t="s">
        <v>472</v>
      </c>
      <c r="I86" s="37" t="s">
        <v>41</v>
      </c>
      <c r="J86" s="215"/>
      <c r="K86" s="215"/>
      <c r="L86" s="195"/>
      <c r="M86" s="51" t="s">
        <v>558</v>
      </c>
      <c r="N86" s="51" t="s">
        <v>659</v>
      </c>
      <c r="O86" s="51" t="s">
        <v>573</v>
      </c>
      <c r="P86" s="51" t="s">
        <v>577</v>
      </c>
      <c r="Q86" s="51" t="s">
        <v>46</v>
      </c>
      <c r="R86" s="51" t="s">
        <v>46</v>
      </c>
      <c r="S86" s="35" t="s">
        <v>46</v>
      </c>
      <c r="T86" s="35" t="s">
        <v>46</v>
      </c>
      <c r="U86" s="35" t="s">
        <v>335</v>
      </c>
      <c r="V86" s="35" t="s">
        <v>335</v>
      </c>
      <c r="W86" s="3"/>
      <c r="X86" s="3"/>
      <c r="Y86" s="3"/>
      <c r="Z86" s="3"/>
      <c r="AA86" s="3"/>
      <c r="AB86" s="3"/>
      <c r="AC86" s="3"/>
      <c r="AD86" s="3"/>
      <c r="AE86" s="3"/>
      <c r="AF86" s="3"/>
      <c r="AG86" s="3"/>
      <c r="AH86" s="3"/>
      <c r="AI86" s="3"/>
      <c r="AJ86" s="3"/>
      <c r="AK86" s="3"/>
      <c r="AL86" s="3"/>
      <c r="AM86" s="3">
        <v>3</v>
      </c>
      <c r="AN86" s="3"/>
      <c r="AO86" s="3"/>
      <c r="AP86" s="3"/>
      <c r="AQ86" s="3"/>
      <c r="AR86" s="2"/>
      <c r="AS86" s="92" t="e">
        <f ca="1">IF(AND('NFR repository'!H86=Params!$I$3,INDIRECT("'NFR repository'!L" &amp; ROW('NFR repository'!A86) &amp; "C" &amp; TEXT(24 + $AS$2,"0"),FALSE)&lt;&gt;""),'NFR repository'!I86,0)</f>
        <v>#REF!</v>
      </c>
      <c r="AT86" s="168" t="e">
        <f ca="1">IF(AND('NFR repository'!H86=Params!$I$3,INDIRECT("'NFR repository'!L" &amp; ROW('NFR repository'!R86) &amp; "C" &amp; TEXT(28 + $AT$2,"0"),FALSE)&lt;&gt;""),'NFR repository'!I86,0)</f>
        <v>#REF!</v>
      </c>
      <c r="AU86" s="168" t="e">
        <f ca="1">IF(AND('NFR repository'!H86=Params!$I$3,INDIRECT("'NFR repository'!L" &amp; ROW('NFR repository'!R86) &amp; "C" &amp; TEXT(32 + $AU$2,"0"),FALSE)&lt;&gt;""),'NFR repository'!I86,0)</f>
        <v>#REF!</v>
      </c>
      <c r="AV86" s="233" t="e">
        <f ca="1">IF(AND('NFR repository'!H86=Params!$I$3,INDIRECT("'NFR repository'!L" &amp; ROW('NFR repository'!R86) &amp; "C" &amp; TEXT(36 + $AV$2,"0"),FALSE)&lt;&gt;""),'NFR repository'!I86,0)</f>
        <v>#REF!</v>
      </c>
      <c r="AW86" s="92">
        <f>IF(AND('NFR repository'!$H86=Params!$I$3,IFERROR(FIND(AW$1,'NFR repository'!$U86)&gt;0,FALSE)),'NFR repository'!$I86,0)</f>
        <v>0</v>
      </c>
      <c r="AX86" s="231">
        <f>IF(AND('NFR repository'!$H86=Params!$I$3,Synthesis!$I$8&lt;&gt;Params!$B$17,IFERROR(FIND(AX$1,'NFR repository'!$U86)&gt;0,FALSE)),'NFR repository'!$I86,0)</f>
        <v>0</v>
      </c>
      <c r="AY86" s="231">
        <f>IF(AND('NFR repository'!$H86=Params!$I$3,IFERROR(FIND(AY$1,'NFR repository'!$U86)&gt;0,FALSE)),'NFR repository'!$I86,0)</f>
        <v>0</v>
      </c>
      <c r="AZ86" s="231">
        <f>IF(AND('NFR repository'!$H86=Params!$I$3,IFERROR(FIND(AZ$1,'NFR repository'!$U86)&gt;0,FALSE)),'NFR repository'!$I86,0)</f>
        <v>0</v>
      </c>
      <c r="BA86" s="231">
        <f>IF(AND('NFR repository'!$H86=Params!$I$3,IFERROR(FIND(BA$1,'NFR repository'!$U86)&gt;0,FALSE)),'NFR repository'!$I86,0)</f>
        <v>0</v>
      </c>
      <c r="BB86" s="231">
        <f>IF(AND('NFR repository'!$H86=Params!$I$3,IFERROR(FIND(BB$1,'NFR repository'!$U86)&gt;0,FALSE)),'NFR repository'!$I86,0)</f>
        <v>0</v>
      </c>
      <c r="BC86" s="231">
        <f>IF(AND('NFR repository'!$H86=Params!$I$3,IFERROR(FIND(BC$1,'NFR repository'!$U86)&gt;0,FALSE)),'NFR repository'!$I86,0)</f>
        <v>0</v>
      </c>
      <c r="BD86" s="231">
        <f>IF(AND('NFR repository'!$H86=Params!$I$3,IFERROR(FIND(BD$1,'NFR repository'!$U86)&gt;0,FALSE)),'NFR repository'!$I86,0)</f>
        <v>0</v>
      </c>
      <c r="BE86" s="93">
        <f>IF(AND('NFR repository'!$H86=Params!$I$3,IFERROR(FIND(BE$1,'NFR repository'!$U86)&gt;0,FALSE)),'NFR repository'!$I86,0)</f>
        <v>0</v>
      </c>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row>
    <row r="87" spans="1:84" ht="45" x14ac:dyDescent="0.25">
      <c r="A87" s="1"/>
      <c r="B87" s="193" t="s">
        <v>447</v>
      </c>
      <c r="C87" s="194" t="s">
        <v>383</v>
      </c>
      <c r="D87" s="36" t="s">
        <v>137</v>
      </c>
      <c r="E87" s="36"/>
      <c r="F87" s="35" t="s">
        <v>333</v>
      </c>
      <c r="G87" s="51" t="s">
        <v>583</v>
      </c>
      <c r="H87" s="35" t="s">
        <v>472</v>
      </c>
      <c r="I87" s="37" t="s">
        <v>41</v>
      </c>
      <c r="J87" s="215"/>
      <c r="K87" s="215"/>
      <c r="L87" s="195"/>
      <c r="M87" s="51" t="s">
        <v>558</v>
      </c>
      <c r="N87" s="51" t="s">
        <v>659</v>
      </c>
      <c r="O87" s="51" t="s">
        <v>573</v>
      </c>
      <c r="P87" s="51" t="s">
        <v>577</v>
      </c>
      <c r="Q87" s="51" t="s">
        <v>46</v>
      </c>
      <c r="R87" s="51" t="s">
        <v>46</v>
      </c>
      <c r="S87" s="35" t="s">
        <v>46</v>
      </c>
      <c r="T87" s="35" t="s">
        <v>46</v>
      </c>
      <c r="U87" s="35" t="s">
        <v>335</v>
      </c>
      <c r="V87" s="35" t="s">
        <v>335</v>
      </c>
      <c r="W87" s="3"/>
      <c r="X87" s="3"/>
      <c r="Y87" s="3"/>
      <c r="Z87" s="3"/>
      <c r="AA87" s="3"/>
      <c r="AB87" s="3"/>
      <c r="AC87" s="3"/>
      <c r="AD87" s="3"/>
      <c r="AE87" s="3"/>
      <c r="AF87" s="3"/>
      <c r="AG87" s="3"/>
      <c r="AH87" s="3"/>
      <c r="AI87" s="3"/>
      <c r="AJ87" s="3"/>
      <c r="AK87" s="3"/>
      <c r="AL87" s="3"/>
      <c r="AM87" s="3">
        <v>4</v>
      </c>
      <c r="AN87" s="3"/>
      <c r="AO87" s="3"/>
      <c r="AP87" s="3"/>
      <c r="AQ87" s="3"/>
      <c r="AR87" s="2"/>
      <c r="AS87" s="92" t="e">
        <f ca="1">IF(AND('NFR repository'!H87=Params!$I$3,INDIRECT("'NFR repository'!L" &amp; ROW('NFR repository'!A87) &amp; "C" &amp; TEXT(24 + $AS$2,"0"),FALSE)&lt;&gt;""),'NFR repository'!I87,0)</f>
        <v>#REF!</v>
      </c>
      <c r="AT87" s="168" t="e">
        <f ca="1">IF(AND('NFR repository'!H87=Params!$I$3,INDIRECT("'NFR repository'!L" &amp; ROW('NFR repository'!R87) &amp; "C" &amp; TEXT(28 + $AT$2,"0"),FALSE)&lt;&gt;""),'NFR repository'!I87,0)</f>
        <v>#REF!</v>
      </c>
      <c r="AU87" s="168" t="e">
        <f ca="1">IF(AND('NFR repository'!H87=Params!$I$3,INDIRECT("'NFR repository'!L" &amp; ROW('NFR repository'!R87) &amp; "C" &amp; TEXT(32 + $AU$2,"0"),FALSE)&lt;&gt;""),'NFR repository'!I87,0)</f>
        <v>#REF!</v>
      </c>
      <c r="AV87" s="233" t="e">
        <f ca="1">IF(AND('NFR repository'!H87=Params!$I$3,INDIRECT("'NFR repository'!L" &amp; ROW('NFR repository'!R87) &amp; "C" &amp; TEXT(36 + $AV$2,"0"),FALSE)&lt;&gt;""),'NFR repository'!I87,0)</f>
        <v>#REF!</v>
      </c>
      <c r="AW87" s="92">
        <f>IF(AND('NFR repository'!$H87=Params!$I$3,IFERROR(FIND(AW$1,'NFR repository'!$U87)&gt;0,FALSE)),'NFR repository'!$I87,0)</f>
        <v>0</v>
      </c>
      <c r="AX87" s="231">
        <f>IF(AND('NFR repository'!$H87=Params!$I$3,Synthesis!$I$8&lt;&gt;Params!$B$17,IFERROR(FIND(AX$1,'NFR repository'!$U87)&gt;0,FALSE)),'NFR repository'!$I87,0)</f>
        <v>0</v>
      </c>
      <c r="AY87" s="231">
        <f>IF(AND('NFR repository'!$H87=Params!$I$3,IFERROR(FIND(AY$1,'NFR repository'!$U87)&gt;0,FALSE)),'NFR repository'!$I87,0)</f>
        <v>0</v>
      </c>
      <c r="AZ87" s="231">
        <f>IF(AND('NFR repository'!$H87=Params!$I$3,IFERROR(FIND(AZ$1,'NFR repository'!$U87)&gt;0,FALSE)),'NFR repository'!$I87,0)</f>
        <v>0</v>
      </c>
      <c r="BA87" s="231">
        <f>IF(AND('NFR repository'!$H87=Params!$I$3,IFERROR(FIND(BA$1,'NFR repository'!$U87)&gt;0,FALSE)),'NFR repository'!$I87,0)</f>
        <v>0</v>
      </c>
      <c r="BB87" s="231">
        <f>IF(AND('NFR repository'!$H87=Params!$I$3,IFERROR(FIND(BB$1,'NFR repository'!$U87)&gt;0,FALSE)),'NFR repository'!$I87,0)</f>
        <v>0</v>
      </c>
      <c r="BC87" s="231">
        <f>IF(AND('NFR repository'!$H87=Params!$I$3,IFERROR(FIND(BC$1,'NFR repository'!$U87)&gt;0,FALSE)),'NFR repository'!$I87,0)</f>
        <v>0</v>
      </c>
      <c r="BD87" s="231">
        <f>IF(AND('NFR repository'!$H87=Params!$I$3,IFERROR(FIND(BD$1,'NFR repository'!$U87)&gt;0,FALSE)),'NFR repository'!$I87,0)</f>
        <v>0</v>
      </c>
      <c r="BE87" s="93">
        <f>IF(AND('NFR repository'!$H87=Params!$I$3,IFERROR(FIND(BE$1,'NFR repository'!$U87)&gt;0,FALSE)),'NFR repository'!$I87,0)</f>
        <v>0</v>
      </c>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row>
    <row r="88" spans="1:84" ht="18.75" x14ac:dyDescent="0.25">
      <c r="A88" s="1"/>
      <c r="B88" s="182">
        <v>6</v>
      </c>
      <c r="C88" s="183" t="s">
        <v>11</v>
      </c>
      <c r="D88" s="206"/>
      <c r="E88" s="206"/>
      <c r="F88" s="207"/>
      <c r="G88" s="197"/>
      <c r="H88" s="207"/>
      <c r="I88" s="208"/>
      <c r="J88" s="219"/>
      <c r="K88" s="219"/>
      <c r="L88" s="209"/>
      <c r="M88" s="197"/>
      <c r="N88" s="197"/>
      <c r="O88" s="197"/>
      <c r="P88" s="197"/>
      <c r="Q88" s="197"/>
      <c r="R88" s="197"/>
      <c r="S88" s="207"/>
      <c r="T88" s="207"/>
      <c r="U88" s="207"/>
      <c r="V88" s="207"/>
      <c r="W88" s="184"/>
      <c r="X88" s="185"/>
      <c r="Y88" s="185"/>
      <c r="Z88" s="185"/>
      <c r="AA88" s="185"/>
      <c r="AB88" s="185"/>
      <c r="AC88" s="185"/>
      <c r="AD88" s="185"/>
      <c r="AE88" s="185"/>
      <c r="AF88" s="185"/>
      <c r="AG88" s="185"/>
      <c r="AH88" s="185"/>
      <c r="AI88" s="185"/>
      <c r="AJ88" s="185"/>
      <c r="AK88" s="185"/>
      <c r="AL88" s="185"/>
      <c r="AM88" s="185"/>
      <c r="AN88" s="185"/>
      <c r="AO88" s="185"/>
      <c r="AP88" s="185"/>
      <c r="AQ88" s="185"/>
      <c r="AR88" s="2"/>
      <c r="AS88" s="92" t="e">
        <f ca="1">IF(AND('NFR repository'!H88=Params!$I$3,INDIRECT("'NFR repository'!L" &amp; ROW('NFR repository'!A88) &amp; "C" &amp; TEXT(24 + $AS$2,"0"),FALSE)&lt;&gt;""),'NFR repository'!I88,0)</f>
        <v>#REF!</v>
      </c>
      <c r="AT88" s="168" t="e">
        <f ca="1">IF(AND('NFR repository'!H88=Params!$I$3,INDIRECT("'NFR repository'!L" &amp; ROW('NFR repository'!R88) &amp; "C" &amp; TEXT(28 + $AT$2,"0"),FALSE)&lt;&gt;""),'NFR repository'!I88,0)</f>
        <v>#REF!</v>
      </c>
      <c r="AU88" s="168" t="e">
        <f ca="1">IF(AND('NFR repository'!H88=Params!$I$3,INDIRECT("'NFR repository'!L" &amp; ROW('NFR repository'!R88) &amp; "C" &amp; TEXT(32 + $AU$2,"0"),FALSE)&lt;&gt;""),'NFR repository'!I88,0)</f>
        <v>#REF!</v>
      </c>
      <c r="AV88" s="233" t="e">
        <f ca="1">IF(AND('NFR repository'!H88=Params!$I$3,INDIRECT("'NFR repository'!L" &amp; ROW('NFR repository'!R88) &amp; "C" &amp; TEXT(36 + $AV$2,"0"),FALSE)&lt;&gt;""),'NFR repository'!I88,0)</f>
        <v>#REF!</v>
      </c>
      <c r="AW88" s="92">
        <f>IF(AND('NFR repository'!$H88=Params!$I$3,IFERROR(FIND(AW$1,'NFR repository'!$U88)&gt;0,FALSE)),'NFR repository'!$I88,0)</f>
        <v>0</v>
      </c>
      <c r="AX88" s="231">
        <f>IF(AND('NFR repository'!$H88=Params!$I$3,Synthesis!$I$8&lt;&gt;Params!$B$17,IFERROR(FIND(AX$1,'NFR repository'!$U88)&gt;0,FALSE)),'NFR repository'!$I88,0)</f>
        <v>0</v>
      </c>
      <c r="AY88" s="231">
        <f>IF(AND('NFR repository'!$H88=Params!$I$3,IFERROR(FIND(AY$1,'NFR repository'!$U88)&gt;0,FALSE)),'NFR repository'!$I88,0)</f>
        <v>0</v>
      </c>
      <c r="AZ88" s="231">
        <f>IF(AND('NFR repository'!$H88=Params!$I$3,IFERROR(FIND(AZ$1,'NFR repository'!$U88)&gt;0,FALSE)),'NFR repository'!$I88,0)</f>
        <v>0</v>
      </c>
      <c r="BA88" s="231">
        <f>IF(AND('NFR repository'!$H88=Params!$I$3,IFERROR(FIND(BA$1,'NFR repository'!$U88)&gt;0,FALSE)),'NFR repository'!$I88,0)</f>
        <v>0</v>
      </c>
      <c r="BB88" s="231">
        <f>IF(AND('NFR repository'!$H88=Params!$I$3,IFERROR(FIND(BB$1,'NFR repository'!$U88)&gt;0,FALSE)),'NFR repository'!$I88,0)</f>
        <v>0</v>
      </c>
      <c r="BC88" s="231">
        <f>IF(AND('NFR repository'!$H88=Params!$I$3,IFERROR(FIND(BC$1,'NFR repository'!$U88)&gt;0,FALSE)),'NFR repository'!$I88,0)</f>
        <v>0</v>
      </c>
      <c r="BD88" s="231">
        <f>IF(AND('NFR repository'!$H88=Params!$I$3,IFERROR(FIND(BD$1,'NFR repository'!$U88)&gt;0,FALSE)),'NFR repository'!$I88,0)</f>
        <v>0</v>
      </c>
      <c r="BE88" s="93">
        <f>IF(AND('NFR repository'!$H88=Params!$I$3,IFERROR(FIND(BE$1,'NFR repository'!$U88)&gt;0,FALSE)),'NFR repository'!$I88,0)</f>
        <v>0</v>
      </c>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row>
    <row r="89" spans="1:84" ht="15.75" x14ac:dyDescent="0.25">
      <c r="A89" s="1"/>
      <c r="B89" s="52" t="s">
        <v>123</v>
      </c>
      <c r="C89" s="39" t="s">
        <v>124</v>
      </c>
      <c r="D89" s="88"/>
      <c r="E89" s="88"/>
      <c r="F89" s="41"/>
      <c r="G89" s="77"/>
      <c r="H89" s="41"/>
      <c r="I89" s="50"/>
      <c r="J89" s="218"/>
      <c r="K89" s="218"/>
      <c r="L89" s="205"/>
      <c r="M89" s="77"/>
      <c r="N89" s="77"/>
      <c r="O89" s="77"/>
      <c r="P89" s="77"/>
      <c r="Q89" s="77"/>
      <c r="R89" s="77"/>
      <c r="S89" s="41"/>
      <c r="T89" s="41"/>
      <c r="U89" s="41"/>
      <c r="V89" s="41"/>
      <c r="W89" s="4"/>
      <c r="X89" s="4"/>
      <c r="Y89" s="4"/>
      <c r="Z89" s="4"/>
      <c r="AA89" s="4"/>
      <c r="AB89" s="4"/>
      <c r="AC89" s="4"/>
      <c r="AD89" s="4"/>
      <c r="AE89" s="4"/>
      <c r="AF89" s="4"/>
      <c r="AG89" s="4"/>
      <c r="AH89" s="4"/>
      <c r="AI89" s="4"/>
      <c r="AJ89" s="4"/>
      <c r="AK89" s="4"/>
      <c r="AL89" s="4"/>
      <c r="AM89" s="4"/>
      <c r="AN89" s="4"/>
      <c r="AO89" s="4"/>
      <c r="AP89" s="4"/>
      <c r="AQ89" s="4"/>
      <c r="AR89" s="2"/>
      <c r="AS89" s="92" t="e">
        <f ca="1">IF(AND('NFR repository'!H89=Params!$I$3,INDIRECT("'NFR repository'!L" &amp; ROW('NFR repository'!A89) &amp; "C" &amp; TEXT(24 + $AS$2,"0"),FALSE)&lt;&gt;""),'NFR repository'!I89,0)</f>
        <v>#REF!</v>
      </c>
      <c r="AT89" s="168" t="e">
        <f ca="1">IF(AND('NFR repository'!H89=Params!$I$3,INDIRECT("'NFR repository'!L" &amp; ROW('NFR repository'!R89) &amp; "C" &amp; TEXT(28 + $AT$2,"0"),FALSE)&lt;&gt;""),'NFR repository'!I89,0)</f>
        <v>#REF!</v>
      </c>
      <c r="AU89" s="168" t="e">
        <f ca="1">IF(AND('NFR repository'!H89=Params!$I$3,INDIRECT("'NFR repository'!L" &amp; ROW('NFR repository'!R89) &amp; "C" &amp; TEXT(32 + $AU$2,"0"),FALSE)&lt;&gt;""),'NFR repository'!I89,0)</f>
        <v>#REF!</v>
      </c>
      <c r="AV89" s="233" t="e">
        <f ca="1">IF(AND('NFR repository'!H89=Params!$I$3,INDIRECT("'NFR repository'!L" &amp; ROW('NFR repository'!R89) &amp; "C" &amp; TEXT(36 + $AV$2,"0"),FALSE)&lt;&gt;""),'NFR repository'!I89,0)</f>
        <v>#REF!</v>
      </c>
      <c r="AW89" s="92">
        <f>IF(AND('NFR repository'!$H89=Params!$I$3,IFERROR(FIND(AW$1,'NFR repository'!$U89)&gt;0,FALSE)),'NFR repository'!$I89,0)</f>
        <v>0</v>
      </c>
      <c r="AX89" s="231">
        <f>IF(AND('NFR repository'!$H89=Params!$I$3,Synthesis!$I$8&lt;&gt;Params!$B$17,IFERROR(FIND(AX$1,'NFR repository'!$U89)&gt;0,FALSE)),'NFR repository'!$I89,0)</f>
        <v>0</v>
      </c>
      <c r="AY89" s="231">
        <f>IF(AND('NFR repository'!$H89=Params!$I$3,IFERROR(FIND(AY$1,'NFR repository'!$U89)&gt;0,FALSE)),'NFR repository'!$I89,0)</f>
        <v>0</v>
      </c>
      <c r="AZ89" s="231">
        <f>IF(AND('NFR repository'!$H89=Params!$I$3,IFERROR(FIND(AZ$1,'NFR repository'!$U89)&gt;0,FALSE)),'NFR repository'!$I89,0)</f>
        <v>0</v>
      </c>
      <c r="BA89" s="231">
        <f>IF(AND('NFR repository'!$H89=Params!$I$3,IFERROR(FIND(BA$1,'NFR repository'!$U89)&gt;0,FALSE)),'NFR repository'!$I89,0)</f>
        <v>0</v>
      </c>
      <c r="BB89" s="231">
        <f>IF(AND('NFR repository'!$H89=Params!$I$3,IFERROR(FIND(BB$1,'NFR repository'!$U89)&gt;0,FALSE)),'NFR repository'!$I89,0)</f>
        <v>0</v>
      </c>
      <c r="BC89" s="231">
        <f>IF(AND('NFR repository'!$H89=Params!$I$3,IFERROR(FIND(BC$1,'NFR repository'!$U89)&gt;0,FALSE)),'NFR repository'!$I89,0)</f>
        <v>0</v>
      </c>
      <c r="BD89" s="231">
        <f>IF(AND('NFR repository'!$H89=Params!$I$3,IFERROR(FIND(BD$1,'NFR repository'!$U89)&gt;0,FALSE)),'NFR repository'!$I89,0)</f>
        <v>0</v>
      </c>
      <c r="BE89" s="93">
        <f>IF(AND('NFR repository'!$H89=Params!$I$3,IFERROR(FIND(BE$1,'NFR repository'!$U89)&gt;0,FALSE)),'NFR repository'!$I89,0)</f>
        <v>0</v>
      </c>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row>
    <row r="90" spans="1:84" ht="60" x14ac:dyDescent="0.25">
      <c r="A90" s="2"/>
      <c r="B90" s="193" t="s">
        <v>231</v>
      </c>
      <c r="C90" s="194" t="s">
        <v>384</v>
      </c>
      <c r="D90" s="83" t="s">
        <v>814</v>
      </c>
      <c r="E90" s="36"/>
      <c r="F90" s="38" t="s">
        <v>473</v>
      </c>
      <c r="G90" s="78" t="s">
        <v>473</v>
      </c>
      <c r="H90" s="35" t="s">
        <v>472</v>
      </c>
      <c r="I90" s="72" t="s">
        <v>41</v>
      </c>
      <c r="J90" s="215"/>
      <c r="K90" s="215"/>
      <c r="L90" s="195"/>
      <c r="M90" s="51" t="s">
        <v>558</v>
      </c>
      <c r="N90" s="51" t="s">
        <v>175</v>
      </c>
      <c r="O90" s="51" t="s">
        <v>574</v>
      </c>
      <c r="P90" s="51" t="s">
        <v>574</v>
      </c>
      <c r="Q90" s="51" t="s">
        <v>46</v>
      </c>
      <c r="R90" s="51" t="s">
        <v>46</v>
      </c>
      <c r="S90" s="35" t="s">
        <v>46</v>
      </c>
      <c r="T90" s="35" t="s">
        <v>46</v>
      </c>
      <c r="U90" s="35" t="s">
        <v>11</v>
      </c>
      <c r="V90" s="35" t="s">
        <v>606</v>
      </c>
      <c r="W90" s="3" t="s">
        <v>128</v>
      </c>
      <c r="X90" s="3" t="s">
        <v>128</v>
      </c>
      <c r="Y90" s="3" t="s">
        <v>128</v>
      </c>
      <c r="Z90" s="3" t="s">
        <v>128</v>
      </c>
      <c r="AA90" s="3" t="s">
        <v>128</v>
      </c>
      <c r="AB90" s="3" t="s">
        <v>128</v>
      </c>
      <c r="AC90" s="3" t="s">
        <v>128</v>
      </c>
      <c r="AD90" s="3" t="s">
        <v>128</v>
      </c>
      <c r="AE90" s="3" t="s">
        <v>128</v>
      </c>
      <c r="AF90" s="3" t="s">
        <v>128</v>
      </c>
      <c r="AG90" s="3" t="s">
        <v>128</v>
      </c>
      <c r="AH90" s="3" t="s">
        <v>128</v>
      </c>
      <c r="AI90" s="3"/>
      <c r="AJ90" s="3"/>
      <c r="AK90" s="3"/>
      <c r="AL90" s="3"/>
      <c r="AM90" s="3"/>
      <c r="AN90" s="3"/>
      <c r="AO90" s="3"/>
      <c r="AP90" s="3"/>
      <c r="AQ90" s="3"/>
      <c r="AR90" s="2"/>
      <c r="AS90" s="92" t="e">
        <f ca="1">IF(AND('NFR repository'!H90=Params!$I$3,INDIRECT("'NFR repository'!L" &amp; ROW('NFR repository'!A90) &amp; "C" &amp; TEXT(24 + $AS$2,"0"),FALSE)&lt;&gt;""),'NFR repository'!I90,0)</f>
        <v>#REF!</v>
      </c>
      <c r="AT90" s="168" t="e">
        <f ca="1">IF(AND('NFR repository'!H90=Params!$I$3,INDIRECT("'NFR repository'!L" &amp; ROW('NFR repository'!R90) &amp; "C" &amp; TEXT(28 + $AT$2,"0"),FALSE)&lt;&gt;""),'NFR repository'!I90,0)</f>
        <v>#REF!</v>
      </c>
      <c r="AU90" s="168" t="e">
        <f ca="1">IF(AND('NFR repository'!H90=Params!$I$3,INDIRECT("'NFR repository'!L" &amp; ROW('NFR repository'!R90) &amp; "C" &amp; TEXT(32 + $AU$2,"0"),FALSE)&lt;&gt;""),'NFR repository'!I90,0)</f>
        <v>#REF!</v>
      </c>
      <c r="AV90" s="233" t="e">
        <f ca="1">IF(AND('NFR repository'!H90=Params!$I$3,INDIRECT("'NFR repository'!L" &amp; ROW('NFR repository'!R90) &amp; "C" &amp; TEXT(36 + $AV$2,"0"),FALSE)&lt;&gt;""),'NFR repository'!I90,0)</f>
        <v>#REF!</v>
      </c>
      <c r="AW90" s="92">
        <f>IF(AND('NFR repository'!$H90=Params!$I$3,IFERROR(FIND(AW$1,'NFR repository'!$U90)&gt;0,FALSE)),'NFR repository'!$I90,0)</f>
        <v>0</v>
      </c>
      <c r="AX90" s="231">
        <f>IF(AND('NFR repository'!$H90=Params!$I$3,Synthesis!$I$8&lt;&gt;Params!$B$17,IFERROR(FIND(AX$1,'NFR repository'!$U90)&gt;0,FALSE)),'NFR repository'!$I90,0)</f>
        <v>0</v>
      </c>
      <c r="AY90" s="231">
        <f>IF(AND('NFR repository'!$H90=Params!$I$3,IFERROR(FIND(AY$1,'NFR repository'!$U90)&gt;0,FALSE)),'NFR repository'!$I90,0)</f>
        <v>0</v>
      </c>
      <c r="AZ90" s="231">
        <f>IF(AND('NFR repository'!$H90=Params!$I$3,IFERROR(FIND(AZ$1,'NFR repository'!$U90)&gt;0,FALSE)),'NFR repository'!$I90,0)</f>
        <v>0</v>
      </c>
      <c r="BA90" s="231">
        <f>IF(AND('NFR repository'!$H90=Params!$I$3,IFERROR(FIND(BA$1,'NFR repository'!$U90)&gt;0,FALSE)),'NFR repository'!$I90,0)</f>
        <v>0</v>
      </c>
      <c r="BB90" s="231">
        <f>IF(AND('NFR repository'!$H90=Params!$I$3,IFERROR(FIND(BB$1,'NFR repository'!$U90)&gt;0,FALSE)),'NFR repository'!$I90,0)</f>
        <v>0</v>
      </c>
      <c r="BC90" s="231">
        <f>IF(AND('NFR repository'!$H90=Params!$I$3,IFERROR(FIND(BC$1,'NFR repository'!$U90)&gt;0,FALSE)),'NFR repository'!$I90,0)</f>
        <v>0</v>
      </c>
      <c r="BD90" s="231">
        <f>IF(AND('NFR repository'!$H90=Params!$I$3,IFERROR(FIND(BD$1,'NFR repository'!$U90)&gt;0,FALSE)),'NFR repository'!$I90,0)</f>
        <v>0</v>
      </c>
      <c r="BE90" s="93">
        <f>IF(AND('NFR repository'!$H90=Params!$I$3,IFERROR(FIND(BE$1,'NFR repository'!$U90)&gt;0,FALSE)),'NFR repository'!$I90,0)</f>
        <v>0</v>
      </c>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row>
    <row r="91" spans="1:84" ht="60" x14ac:dyDescent="0.25">
      <c r="A91" s="2"/>
      <c r="B91" s="193" t="s">
        <v>232</v>
      </c>
      <c r="C91" s="194" t="s">
        <v>815</v>
      </c>
      <c r="D91" s="36" t="s">
        <v>137</v>
      </c>
      <c r="E91" s="87" t="s">
        <v>513</v>
      </c>
      <c r="F91" s="35" t="s">
        <v>172</v>
      </c>
      <c r="G91" s="51" t="s">
        <v>749</v>
      </c>
      <c r="H91" s="35" t="s">
        <v>472</v>
      </c>
      <c r="I91" s="72" t="s">
        <v>41</v>
      </c>
      <c r="J91" s="215"/>
      <c r="K91" s="215"/>
      <c r="L91" s="195"/>
      <c r="M91" s="51" t="s">
        <v>558</v>
      </c>
      <c r="N91" s="51" t="s">
        <v>169</v>
      </c>
      <c r="O91" s="51" t="s">
        <v>577</v>
      </c>
      <c r="P91" s="51" t="s">
        <v>577</v>
      </c>
      <c r="Q91" s="51" t="s">
        <v>156</v>
      </c>
      <c r="R91" s="51" t="s">
        <v>169</v>
      </c>
      <c r="S91" s="35" t="s">
        <v>474</v>
      </c>
      <c r="T91" s="35" t="s">
        <v>46</v>
      </c>
      <c r="U91" s="78" t="s">
        <v>633</v>
      </c>
      <c r="V91" s="38" t="s">
        <v>173</v>
      </c>
      <c r="W91" s="3"/>
      <c r="X91" s="3"/>
      <c r="Y91" s="3" t="s">
        <v>128</v>
      </c>
      <c r="Z91" s="3" t="s">
        <v>128</v>
      </c>
      <c r="AA91" s="3" t="s">
        <v>128</v>
      </c>
      <c r="AB91" s="3" t="s">
        <v>128</v>
      </c>
      <c r="AC91" s="3" t="s">
        <v>128</v>
      </c>
      <c r="AD91" s="3" t="s">
        <v>128</v>
      </c>
      <c r="AE91" s="3"/>
      <c r="AF91" s="3"/>
      <c r="AG91" s="3" t="s">
        <v>128</v>
      </c>
      <c r="AH91" s="3" t="s">
        <v>128</v>
      </c>
      <c r="AI91" s="3"/>
      <c r="AJ91" s="3"/>
      <c r="AK91" s="3"/>
      <c r="AL91" s="3"/>
      <c r="AM91" s="3"/>
      <c r="AN91" s="3"/>
      <c r="AO91" s="3"/>
      <c r="AP91" s="3"/>
      <c r="AQ91" s="3"/>
      <c r="AR91" s="2"/>
      <c r="AS91" s="92" t="e">
        <f ca="1">IF(AND('NFR repository'!H91=Params!$I$3,INDIRECT("'NFR repository'!L" &amp; ROW('NFR repository'!A91) &amp; "C" &amp; TEXT(24 + $AS$2,"0"),FALSE)&lt;&gt;""),'NFR repository'!I91,0)</f>
        <v>#REF!</v>
      </c>
      <c r="AT91" s="168" t="e">
        <f ca="1">IF(AND('NFR repository'!H91=Params!$I$3,INDIRECT("'NFR repository'!L" &amp; ROW('NFR repository'!R91) &amp; "C" &amp; TEXT(28 + $AT$2,"0"),FALSE)&lt;&gt;""),'NFR repository'!I91,0)</f>
        <v>#REF!</v>
      </c>
      <c r="AU91" s="168" t="e">
        <f ca="1">IF(AND('NFR repository'!H91=Params!$I$3,INDIRECT("'NFR repository'!L" &amp; ROW('NFR repository'!R91) &amp; "C" &amp; TEXT(32 + $AU$2,"0"),FALSE)&lt;&gt;""),'NFR repository'!I91,0)</f>
        <v>#REF!</v>
      </c>
      <c r="AV91" s="233" t="e">
        <f ca="1">IF(AND('NFR repository'!H91=Params!$I$3,INDIRECT("'NFR repository'!L" &amp; ROW('NFR repository'!R91) &amp; "C" &amp; TEXT(36 + $AV$2,"0"),FALSE)&lt;&gt;""),'NFR repository'!I91,0)</f>
        <v>#REF!</v>
      </c>
      <c r="AW91" s="92">
        <f>IF(AND('NFR repository'!$H91=Params!$I$3,IFERROR(FIND(AW$1,'NFR repository'!$U91)&gt;0,FALSE)),'NFR repository'!$I91,0)</f>
        <v>0</v>
      </c>
      <c r="AX91" s="231">
        <f>IF(AND('NFR repository'!$H91=Params!$I$3,Synthesis!$I$8&lt;&gt;Params!$B$17,IFERROR(FIND(AX$1,'NFR repository'!$U91)&gt;0,FALSE)),'NFR repository'!$I91,0)</f>
        <v>0</v>
      </c>
      <c r="AY91" s="231">
        <f>IF(AND('NFR repository'!$H91=Params!$I$3,IFERROR(FIND(AY$1,'NFR repository'!$U91)&gt;0,FALSE)),'NFR repository'!$I91,0)</f>
        <v>0</v>
      </c>
      <c r="AZ91" s="231">
        <f>IF(AND('NFR repository'!$H91=Params!$I$3,IFERROR(FIND(AZ$1,'NFR repository'!$U91)&gt;0,FALSE)),'NFR repository'!$I91,0)</f>
        <v>0</v>
      </c>
      <c r="BA91" s="231">
        <f>IF(AND('NFR repository'!$H91=Params!$I$3,IFERROR(FIND(BA$1,'NFR repository'!$U91)&gt;0,FALSE)),'NFR repository'!$I91,0)</f>
        <v>0</v>
      </c>
      <c r="BB91" s="231">
        <f>IF(AND('NFR repository'!$H91=Params!$I$3,IFERROR(FIND(BB$1,'NFR repository'!$U91)&gt;0,FALSE)),'NFR repository'!$I91,0)</f>
        <v>0</v>
      </c>
      <c r="BC91" s="231">
        <f>IF(AND('NFR repository'!$H91=Params!$I$3,IFERROR(FIND(BC$1,'NFR repository'!$U91)&gt;0,FALSE)),'NFR repository'!$I91,0)</f>
        <v>0</v>
      </c>
      <c r="BD91" s="231">
        <f>IF(AND('NFR repository'!$H91=Params!$I$3,IFERROR(FIND(BD$1,'NFR repository'!$U91)&gt;0,FALSE)),'NFR repository'!$I91,0)</f>
        <v>0</v>
      </c>
      <c r="BE91" s="93">
        <f>IF(AND('NFR repository'!$H91=Params!$I$3,IFERROR(FIND(BE$1,'NFR repository'!$U91)&gt;0,FALSE)),'NFR repository'!$I91,0)</f>
        <v>0</v>
      </c>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row>
    <row r="92" spans="1:84" ht="60" x14ac:dyDescent="0.25">
      <c r="A92" s="2"/>
      <c r="B92" s="193" t="s">
        <v>448</v>
      </c>
      <c r="C92" s="194" t="s">
        <v>385</v>
      </c>
      <c r="D92" s="36" t="s">
        <v>137</v>
      </c>
      <c r="E92" s="36" t="s">
        <v>299</v>
      </c>
      <c r="F92" s="35" t="s">
        <v>749</v>
      </c>
      <c r="G92" s="51" t="s">
        <v>749</v>
      </c>
      <c r="H92" s="35" t="s">
        <v>472</v>
      </c>
      <c r="I92" s="72" t="s">
        <v>41</v>
      </c>
      <c r="J92" s="215"/>
      <c r="K92" s="215"/>
      <c r="L92" s="195"/>
      <c r="M92" s="51" t="s">
        <v>558</v>
      </c>
      <c r="N92" s="51" t="s">
        <v>660</v>
      </c>
      <c r="O92" s="51" t="s">
        <v>580</v>
      </c>
      <c r="P92" s="51" t="s">
        <v>580</v>
      </c>
      <c r="Q92" s="51" t="s">
        <v>156</v>
      </c>
      <c r="R92" s="51" t="s">
        <v>661</v>
      </c>
      <c r="S92" s="35" t="s">
        <v>174</v>
      </c>
      <c r="T92" s="35" t="s">
        <v>46</v>
      </c>
      <c r="U92" s="35" t="s">
        <v>633</v>
      </c>
      <c r="V92" s="35" t="s">
        <v>11</v>
      </c>
      <c r="W92" s="3"/>
      <c r="X92" s="3"/>
      <c r="Y92" s="3" t="s">
        <v>128</v>
      </c>
      <c r="Z92" s="3" t="s">
        <v>128</v>
      </c>
      <c r="AA92" s="3"/>
      <c r="AB92" s="3"/>
      <c r="AC92" s="3" t="s">
        <v>128</v>
      </c>
      <c r="AD92" s="3" t="s">
        <v>128</v>
      </c>
      <c r="AE92" s="3"/>
      <c r="AF92" s="3"/>
      <c r="AG92" s="3" t="s">
        <v>128</v>
      </c>
      <c r="AH92" s="3" t="s">
        <v>128</v>
      </c>
      <c r="AI92" s="3"/>
      <c r="AJ92" s="3"/>
      <c r="AK92" s="3"/>
      <c r="AL92" s="3"/>
      <c r="AM92" s="3"/>
      <c r="AN92" s="3"/>
      <c r="AO92" s="3"/>
      <c r="AP92" s="3">
        <v>1</v>
      </c>
      <c r="AQ92" s="3">
        <v>2</v>
      </c>
      <c r="AR92" s="2"/>
      <c r="AS92" s="92" t="e">
        <f ca="1">IF(AND('NFR repository'!H92=Params!$I$3,INDIRECT("'NFR repository'!L" &amp; ROW('NFR repository'!A92) &amp; "C" &amp; TEXT(24 + $AS$2,"0"),FALSE)&lt;&gt;""),'NFR repository'!I92,0)</f>
        <v>#REF!</v>
      </c>
      <c r="AT92" s="168" t="e">
        <f ca="1">IF(AND('NFR repository'!H92=Params!$I$3,INDIRECT("'NFR repository'!L" &amp; ROW('NFR repository'!R92) &amp; "C" &amp; TEXT(28 + $AT$2,"0"),FALSE)&lt;&gt;""),'NFR repository'!I92,0)</f>
        <v>#REF!</v>
      </c>
      <c r="AU92" s="168" t="e">
        <f ca="1">IF(AND('NFR repository'!H92=Params!$I$3,INDIRECT("'NFR repository'!L" &amp; ROW('NFR repository'!R92) &amp; "C" &amp; TEXT(32 + $AU$2,"0"),FALSE)&lt;&gt;""),'NFR repository'!I92,0)</f>
        <v>#REF!</v>
      </c>
      <c r="AV92" s="233" t="e">
        <f ca="1">IF(AND('NFR repository'!H92=Params!$I$3,INDIRECT("'NFR repository'!L" &amp; ROW('NFR repository'!R92) &amp; "C" &amp; TEXT(36 + $AV$2,"0"),FALSE)&lt;&gt;""),'NFR repository'!I92,0)</f>
        <v>#REF!</v>
      </c>
      <c r="AW92" s="92">
        <f>IF(AND('NFR repository'!$H92=Params!$I$3,IFERROR(FIND(AW$1,'NFR repository'!$U92)&gt;0,FALSE)),'NFR repository'!$I92,0)</f>
        <v>0</v>
      </c>
      <c r="AX92" s="231">
        <f>IF(AND('NFR repository'!$H92=Params!$I$3,Synthesis!$I$8&lt;&gt;Params!$B$17,IFERROR(FIND(AX$1,'NFR repository'!$U92)&gt;0,FALSE)),'NFR repository'!$I92,0)</f>
        <v>0</v>
      </c>
      <c r="AY92" s="231">
        <f>IF(AND('NFR repository'!$H92=Params!$I$3,IFERROR(FIND(AY$1,'NFR repository'!$U92)&gt;0,FALSE)),'NFR repository'!$I92,0)</f>
        <v>0</v>
      </c>
      <c r="AZ92" s="231">
        <f>IF(AND('NFR repository'!$H92=Params!$I$3,IFERROR(FIND(AZ$1,'NFR repository'!$U92)&gt;0,FALSE)),'NFR repository'!$I92,0)</f>
        <v>0</v>
      </c>
      <c r="BA92" s="231">
        <f>IF(AND('NFR repository'!$H92=Params!$I$3,IFERROR(FIND(BA$1,'NFR repository'!$U92)&gt;0,FALSE)),'NFR repository'!$I92,0)</f>
        <v>0</v>
      </c>
      <c r="BB92" s="231">
        <f>IF(AND('NFR repository'!$H92=Params!$I$3,IFERROR(FIND(BB$1,'NFR repository'!$U92)&gt;0,FALSE)),'NFR repository'!$I92,0)</f>
        <v>0</v>
      </c>
      <c r="BC92" s="231">
        <f>IF(AND('NFR repository'!$H92=Params!$I$3,IFERROR(FIND(BC$1,'NFR repository'!$U92)&gt;0,FALSE)),'NFR repository'!$I92,0)</f>
        <v>0</v>
      </c>
      <c r="BD92" s="231">
        <f>IF(AND('NFR repository'!$H92=Params!$I$3,IFERROR(FIND(BD$1,'NFR repository'!$U92)&gt;0,FALSE)),'NFR repository'!$I92,0)</f>
        <v>0</v>
      </c>
      <c r="BE92" s="93">
        <f>IF(AND('NFR repository'!$H92=Params!$I$3,IFERROR(FIND(BE$1,'NFR repository'!$U92)&gt;0,FALSE)),'NFR repository'!$I92,0)</f>
        <v>0</v>
      </c>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row>
    <row r="93" spans="1:84" ht="60" x14ac:dyDescent="0.25">
      <c r="A93" s="2"/>
      <c r="B93" s="193" t="s">
        <v>449</v>
      </c>
      <c r="C93" s="194" t="s">
        <v>477</v>
      </c>
      <c r="D93" s="36" t="s">
        <v>137</v>
      </c>
      <c r="E93" s="36" t="s">
        <v>299</v>
      </c>
      <c r="F93" s="35" t="s">
        <v>749</v>
      </c>
      <c r="G93" s="51" t="s">
        <v>749</v>
      </c>
      <c r="H93" s="35" t="s">
        <v>472</v>
      </c>
      <c r="I93" s="72" t="s">
        <v>41</v>
      </c>
      <c r="J93" s="215"/>
      <c r="K93" s="215"/>
      <c r="L93" s="195"/>
      <c r="M93" s="51" t="s">
        <v>558</v>
      </c>
      <c r="N93" s="51" t="s">
        <v>662</v>
      </c>
      <c r="O93" s="51" t="s">
        <v>580</v>
      </c>
      <c r="P93" s="51" t="s">
        <v>580</v>
      </c>
      <c r="Q93" s="51" t="s">
        <v>156</v>
      </c>
      <c r="R93" s="51" t="s">
        <v>661</v>
      </c>
      <c r="S93" s="35" t="s">
        <v>174</v>
      </c>
      <c r="T93" s="35" t="s">
        <v>46</v>
      </c>
      <c r="U93" s="35" t="s">
        <v>11</v>
      </c>
      <c r="V93" s="35" t="s">
        <v>11</v>
      </c>
      <c r="W93" s="3" t="s">
        <v>128</v>
      </c>
      <c r="X93" s="3" t="s">
        <v>128</v>
      </c>
      <c r="Y93" s="3"/>
      <c r="Z93" s="3"/>
      <c r="AA93" s="3" t="s">
        <v>128</v>
      </c>
      <c r="AB93" s="3" t="s">
        <v>128</v>
      </c>
      <c r="AC93" s="3"/>
      <c r="AD93" s="3"/>
      <c r="AE93" s="3" t="s">
        <v>128</v>
      </c>
      <c r="AF93" s="3" t="s">
        <v>128</v>
      </c>
      <c r="AG93" s="3"/>
      <c r="AH93" s="3"/>
      <c r="AI93" s="3"/>
      <c r="AJ93" s="3"/>
      <c r="AK93" s="3"/>
      <c r="AL93" s="3"/>
      <c r="AM93" s="3"/>
      <c r="AN93" s="3"/>
      <c r="AO93" s="3"/>
      <c r="AP93" s="3">
        <v>1</v>
      </c>
      <c r="AQ93" s="3">
        <v>1</v>
      </c>
      <c r="AR93" s="2"/>
      <c r="AS93" s="92" t="e">
        <f ca="1">IF(AND('NFR repository'!H93=Params!$I$3,INDIRECT("'NFR repository'!L" &amp; ROW('NFR repository'!A93) &amp; "C" &amp; TEXT(24 + $AS$2,"0"),FALSE)&lt;&gt;""),'NFR repository'!I93,0)</f>
        <v>#REF!</v>
      </c>
      <c r="AT93" s="168" t="e">
        <f ca="1">IF(AND('NFR repository'!H93=Params!$I$3,INDIRECT("'NFR repository'!L" &amp; ROW('NFR repository'!R93) &amp; "C" &amp; TEXT(28 + $AT$2,"0"),FALSE)&lt;&gt;""),'NFR repository'!I93,0)</f>
        <v>#REF!</v>
      </c>
      <c r="AU93" s="168" t="e">
        <f ca="1">IF(AND('NFR repository'!H93=Params!$I$3,INDIRECT("'NFR repository'!L" &amp; ROW('NFR repository'!R93) &amp; "C" &amp; TEXT(32 + $AU$2,"0"),FALSE)&lt;&gt;""),'NFR repository'!I93,0)</f>
        <v>#REF!</v>
      </c>
      <c r="AV93" s="233" t="e">
        <f ca="1">IF(AND('NFR repository'!H93=Params!$I$3,INDIRECT("'NFR repository'!L" &amp; ROW('NFR repository'!R93) &amp; "C" &amp; TEXT(36 + $AV$2,"0"),FALSE)&lt;&gt;""),'NFR repository'!I93,0)</f>
        <v>#REF!</v>
      </c>
      <c r="AW93" s="92">
        <f>IF(AND('NFR repository'!$H93=Params!$I$3,IFERROR(FIND(AW$1,'NFR repository'!$U93)&gt;0,FALSE)),'NFR repository'!$I93,0)</f>
        <v>0</v>
      </c>
      <c r="AX93" s="231">
        <f>IF(AND('NFR repository'!$H93=Params!$I$3,Synthesis!$I$8&lt;&gt;Params!$B$17,IFERROR(FIND(AX$1,'NFR repository'!$U93)&gt;0,FALSE)),'NFR repository'!$I93,0)</f>
        <v>0</v>
      </c>
      <c r="AY93" s="231">
        <f>IF(AND('NFR repository'!$H93=Params!$I$3,IFERROR(FIND(AY$1,'NFR repository'!$U93)&gt;0,FALSE)),'NFR repository'!$I93,0)</f>
        <v>0</v>
      </c>
      <c r="AZ93" s="231">
        <f>IF(AND('NFR repository'!$H93=Params!$I$3,IFERROR(FIND(AZ$1,'NFR repository'!$U93)&gt;0,FALSE)),'NFR repository'!$I93,0)</f>
        <v>0</v>
      </c>
      <c r="BA93" s="231">
        <f>IF(AND('NFR repository'!$H93=Params!$I$3,IFERROR(FIND(BA$1,'NFR repository'!$U93)&gt;0,FALSE)),'NFR repository'!$I93,0)</f>
        <v>0</v>
      </c>
      <c r="BB93" s="231">
        <f>IF(AND('NFR repository'!$H93=Params!$I$3,IFERROR(FIND(BB$1,'NFR repository'!$U93)&gt;0,FALSE)),'NFR repository'!$I93,0)</f>
        <v>0</v>
      </c>
      <c r="BC93" s="231">
        <f>IF(AND('NFR repository'!$H93=Params!$I$3,IFERROR(FIND(BC$1,'NFR repository'!$U93)&gt;0,FALSE)),'NFR repository'!$I93,0)</f>
        <v>0</v>
      </c>
      <c r="BD93" s="231">
        <f>IF(AND('NFR repository'!$H93=Params!$I$3,IFERROR(FIND(BD$1,'NFR repository'!$U93)&gt;0,FALSE)),'NFR repository'!$I93,0)</f>
        <v>0</v>
      </c>
      <c r="BE93" s="93">
        <f>IF(AND('NFR repository'!$H93=Params!$I$3,IFERROR(FIND(BE$1,'NFR repository'!$U93)&gt;0,FALSE)),'NFR repository'!$I93,0)</f>
        <v>0</v>
      </c>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row>
    <row r="94" spans="1:84" ht="60" x14ac:dyDescent="0.25">
      <c r="A94" s="2"/>
      <c r="B94" s="193" t="s">
        <v>450</v>
      </c>
      <c r="C94" s="194" t="s">
        <v>478</v>
      </c>
      <c r="D94" s="36" t="s">
        <v>137</v>
      </c>
      <c r="E94" s="36" t="s">
        <v>298</v>
      </c>
      <c r="F94" s="35" t="s">
        <v>749</v>
      </c>
      <c r="G94" s="51" t="s">
        <v>749</v>
      </c>
      <c r="H94" s="35" t="s">
        <v>472</v>
      </c>
      <c r="I94" s="72" t="s">
        <v>41</v>
      </c>
      <c r="J94" s="215"/>
      <c r="K94" s="215"/>
      <c r="L94" s="195"/>
      <c r="M94" s="51" t="s">
        <v>558</v>
      </c>
      <c r="N94" s="51" t="s">
        <v>660</v>
      </c>
      <c r="O94" s="51" t="s">
        <v>580</v>
      </c>
      <c r="P94" s="51" t="s">
        <v>580</v>
      </c>
      <c r="Q94" s="51" t="s">
        <v>156</v>
      </c>
      <c r="R94" s="51" t="s">
        <v>661</v>
      </c>
      <c r="S94" s="35" t="s">
        <v>174</v>
      </c>
      <c r="T94" s="35" t="s">
        <v>46</v>
      </c>
      <c r="U94" s="35" t="s">
        <v>11</v>
      </c>
      <c r="V94" s="35" t="s">
        <v>11</v>
      </c>
      <c r="W94" s="3" t="s">
        <v>128</v>
      </c>
      <c r="X94" s="3" t="s">
        <v>128</v>
      </c>
      <c r="Y94" s="3" t="s">
        <v>128</v>
      </c>
      <c r="Z94" s="3" t="s">
        <v>128</v>
      </c>
      <c r="AA94" s="3" t="s">
        <v>128</v>
      </c>
      <c r="AB94" s="3" t="s">
        <v>128</v>
      </c>
      <c r="AC94" s="3" t="s">
        <v>128</v>
      </c>
      <c r="AD94" s="3" t="s">
        <v>128</v>
      </c>
      <c r="AE94" s="3" t="s">
        <v>128</v>
      </c>
      <c r="AF94" s="3" t="s">
        <v>128</v>
      </c>
      <c r="AG94" s="3" t="s">
        <v>128</v>
      </c>
      <c r="AH94" s="3" t="s">
        <v>128</v>
      </c>
      <c r="AI94" s="3"/>
      <c r="AJ94" s="3"/>
      <c r="AK94" s="3"/>
      <c r="AL94" s="3"/>
      <c r="AM94" s="3"/>
      <c r="AN94" s="3"/>
      <c r="AO94" s="3"/>
      <c r="AP94" s="3"/>
      <c r="AQ94" s="3"/>
      <c r="AR94" s="2"/>
      <c r="AS94" s="92" t="e">
        <f ca="1">IF(AND('NFR repository'!H94=Params!$I$3,INDIRECT("'NFR repository'!L" &amp; ROW('NFR repository'!A94) &amp; "C" &amp; TEXT(24 + $AS$2,"0"),FALSE)&lt;&gt;""),'NFR repository'!I94,0)</f>
        <v>#REF!</v>
      </c>
      <c r="AT94" s="168" t="e">
        <f ca="1">IF(AND('NFR repository'!H94=Params!$I$3,INDIRECT("'NFR repository'!L" &amp; ROW('NFR repository'!R94) &amp; "C" &amp; TEXT(28 + $AT$2,"0"),FALSE)&lt;&gt;""),'NFR repository'!I94,0)</f>
        <v>#REF!</v>
      </c>
      <c r="AU94" s="168" t="e">
        <f ca="1">IF(AND('NFR repository'!H94=Params!$I$3,INDIRECT("'NFR repository'!L" &amp; ROW('NFR repository'!R94) &amp; "C" &amp; TEXT(32 + $AU$2,"0"),FALSE)&lt;&gt;""),'NFR repository'!I94,0)</f>
        <v>#REF!</v>
      </c>
      <c r="AV94" s="233" t="e">
        <f ca="1">IF(AND('NFR repository'!H94=Params!$I$3,INDIRECT("'NFR repository'!L" &amp; ROW('NFR repository'!R94) &amp; "C" &amp; TEXT(36 + $AV$2,"0"),FALSE)&lt;&gt;""),'NFR repository'!I94,0)</f>
        <v>#REF!</v>
      </c>
      <c r="AW94" s="92">
        <f>IF(AND('NFR repository'!$H94=Params!$I$3,IFERROR(FIND(AW$1,'NFR repository'!$U94)&gt;0,FALSE)),'NFR repository'!$I94,0)</f>
        <v>0</v>
      </c>
      <c r="AX94" s="231">
        <f>IF(AND('NFR repository'!$H94=Params!$I$3,Synthesis!$I$8&lt;&gt;Params!$B$17,IFERROR(FIND(AX$1,'NFR repository'!$U94)&gt;0,FALSE)),'NFR repository'!$I94,0)</f>
        <v>0</v>
      </c>
      <c r="AY94" s="231">
        <f>IF(AND('NFR repository'!$H94=Params!$I$3,IFERROR(FIND(AY$1,'NFR repository'!$U94)&gt;0,FALSE)),'NFR repository'!$I94,0)</f>
        <v>0</v>
      </c>
      <c r="AZ94" s="231">
        <f>IF(AND('NFR repository'!$H94=Params!$I$3,IFERROR(FIND(AZ$1,'NFR repository'!$U94)&gt;0,FALSE)),'NFR repository'!$I94,0)</f>
        <v>0</v>
      </c>
      <c r="BA94" s="231">
        <f>IF(AND('NFR repository'!$H94=Params!$I$3,IFERROR(FIND(BA$1,'NFR repository'!$U94)&gt;0,FALSE)),'NFR repository'!$I94,0)</f>
        <v>0</v>
      </c>
      <c r="BB94" s="231">
        <f>IF(AND('NFR repository'!$H94=Params!$I$3,IFERROR(FIND(BB$1,'NFR repository'!$U94)&gt;0,FALSE)),'NFR repository'!$I94,0)</f>
        <v>0</v>
      </c>
      <c r="BC94" s="231">
        <f>IF(AND('NFR repository'!$H94=Params!$I$3,IFERROR(FIND(BC$1,'NFR repository'!$U94)&gt;0,FALSE)),'NFR repository'!$I94,0)</f>
        <v>0</v>
      </c>
      <c r="BD94" s="231">
        <f>IF(AND('NFR repository'!$H94=Params!$I$3,IFERROR(FIND(BD$1,'NFR repository'!$U94)&gt;0,FALSE)),'NFR repository'!$I94,0)</f>
        <v>0</v>
      </c>
      <c r="BE94" s="93">
        <f>IF(AND('NFR repository'!$H94=Params!$I$3,IFERROR(FIND(BE$1,'NFR repository'!$U94)&gt;0,FALSE)),'NFR repository'!$I94,0)</f>
        <v>0</v>
      </c>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row>
    <row r="95" spans="1:84" ht="45" x14ac:dyDescent="0.25">
      <c r="A95" s="2"/>
      <c r="B95" s="193" t="s">
        <v>451</v>
      </c>
      <c r="C95" s="194" t="s">
        <v>386</v>
      </c>
      <c r="D95" s="83" t="s">
        <v>771</v>
      </c>
      <c r="E95" s="36" t="s">
        <v>297</v>
      </c>
      <c r="F95" s="38" t="s">
        <v>290</v>
      </c>
      <c r="G95" s="78" t="s">
        <v>290</v>
      </c>
      <c r="H95" s="35" t="s">
        <v>472</v>
      </c>
      <c r="I95" s="72" t="s">
        <v>41</v>
      </c>
      <c r="J95" s="215"/>
      <c r="K95" s="215"/>
      <c r="L95" s="195"/>
      <c r="M95" s="51" t="s">
        <v>558</v>
      </c>
      <c r="N95" s="51" t="s">
        <v>563</v>
      </c>
      <c r="O95" s="51" t="s">
        <v>578</v>
      </c>
      <c r="P95" s="51" t="s">
        <v>578</v>
      </c>
      <c r="Q95" s="51" t="s">
        <v>135</v>
      </c>
      <c r="R95" s="51" t="s">
        <v>135</v>
      </c>
      <c r="S95" s="35" t="s">
        <v>46</v>
      </c>
      <c r="T95" s="38" t="s">
        <v>178</v>
      </c>
      <c r="U95" s="35" t="s">
        <v>714</v>
      </c>
      <c r="V95" s="35" t="s">
        <v>11</v>
      </c>
      <c r="W95" s="3" t="s">
        <v>128</v>
      </c>
      <c r="X95" s="3" t="s">
        <v>128</v>
      </c>
      <c r="Y95" s="3" t="s">
        <v>128</v>
      </c>
      <c r="Z95" s="3"/>
      <c r="AA95" s="3" t="s">
        <v>128</v>
      </c>
      <c r="AB95" s="3" t="s">
        <v>128</v>
      </c>
      <c r="AC95" s="3" t="s">
        <v>128</v>
      </c>
      <c r="AD95" s="3"/>
      <c r="AE95" s="3" t="s">
        <v>128</v>
      </c>
      <c r="AF95" s="3" t="s">
        <v>128</v>
      </c>
      <c r="AG95" s="3"/>
      <c r="AH95" s="3"/>
      <c r="AI95" s="3"/>
      <c r="AJ95" s="3"/>
      <c r="AK95" s="3"/>
      <c r="AL95" s="3"/>
      <c r="AM95" s="3"/>
      <c r="AN95" s="3"/>
      <c r="AO95" s="3" t="s">
        <v>128</v>
      </c>
      <c r="AP95" s="3">
        <v>2</v>
      </c>
      <c r="AQ95" s="3">
        <v>1</v>
      </c>
      <c r="AR95" s="2"/>
      <c r="AS95" s="92" t="e">
        <f ca="1">IF(AND('NFR repository'!H95=Params!$I$3,INDIRECT("'NFR repository'!L" &amp; ROW('NFR repository'!A95) &amp; "C" &amp; TEXT(24 + $AS$2,"0"),FALSE)&lt;&gt;""),'NFR repository'!I95,0)</f>
        <v>#REF!</v>
      </c>
      <c r="AT95" s="168" t="e">
        <f ca="1">IF(AND('NFR repository'!H95=Params!$I$3,INDIRECT("'NFR repository'!L" &amp; ROW('NFR repository'!R95) &amp; "C" &amp; TEXT(28 + $AT$2,"0"),FALSE)&lt;&gt;""),'NFR repository'!I95,0)</f>
        <v>#REF!</v>
      </c>
      <c r="AU95" s="168" t="e">
        <f ca="1">IF(AND('NFR repository'!H95=Params!$I$3,INDIRECT("'NFR repository'!L" &amp; ROW('NFR repository'!R95) &amp; "C" &amp; TEXT(32 + $AU$2,"0"),FALSE)&lt;&gt;""),'NFR repository'!I95,0)</f>
        <v>#REF!</v>
      </c>
      <c r="AV95" s="233" t="e">
        <f ca="1">IF(AND('NFR repository'!H95=Params!$I$3,INDIRECT("'NFR repository'!L" &amp; ROW('NFR repository'!R95) &amp; "C" &amp; TEXT(36 + $AV$2,"0"),FALSE)&lt;&gt;""),'NFR repository'!I95,0)</f>
        <v>#REF!</v>
      </c>
      <c r="AW95" s="92">
        <f>IF(AND('NFR repository'!$H95=Params!$I$3,IFERROR(FIND(AW$1,'NFR repository'!$U95)&gt;0,FALSE)),'NFR repository'!$I95,0)</f>
        <v>0</v>
      </c>
      <c r="AX95" s="231">
        <f>IF(AND('NFR repository'!$H95=Params!$I$3,Synthesis!$I$8&lt;&gt;Params!$B$17,IFERROR(FIND(AX$1,'NFR repository'!$U95)&gt;0,FALSE)),'NFR repository'!$I95,0)</f>
        <v>0</v>
      </c>
      <c r="AY95" s="231">
        <f>IF(AND('NFR repository'!$H95=Params!$I$3,IFERROR(FIND(AY$1,'NFR repository'!$U95)&gt;0,FALSE)),'NFR repository'!$I95,0)</f>
        <v>0</v>
      </c>
      <c r="AZ95" s="231">
        <f>IF(AND('NFR repository'!$H95=Params!$I$3,IFERROR(FIND(AZ$1,'NFR repository'!$U95)&gt;0,FALSE)),'NFR repository'!$I95,0)</f>
        <v>0</v>
      </c>
      <c r="BA95" s="231">
        <f>IF(AND('NFR repository'!$H95=Params!$I$3,IFERROR(FIND(BA$1,'NFR repository'!$U95)&gt;0,FALSE)),'NFR repository'!$I95,0)</f>
        <v>0</v>
      </c>
      <c r="BB95" s="231">
        <f>IF(AND('NFR repository'!$H95=Params!$I$3,IFERROR(FIND(BB$1,'NFR repository'!$U95)&gt;0,FALSE)),'NFR repository'!$I95,0)</f>
        <v>0</v>
      </c>
      <c r="BC95" s="231">
        <f>IF(AND('NFR repository'!$H95=Params!$I$3,IFERROR(FIND(BC$1,'NFR repository'!$U95)&gt;0,FALSE)),'NFR repository'!$I95,0)</f>
        <v>0</v>
      </c>
      <c r="BD95" s="231">
        <f>IF(AND('NFR repository'!$H95=Params!$I$3,IFERROR(FIND(BD$1,'NFR repository'!$U95)&gt;0,FALSE)),'NFR repository'!$I95,0)</f>
        <v>0</v>
      </c>
      <c r="BE95" s="93">
        <f>IF(AND('NFR repository'!$H95=Params!$I$3,IFERROR(FIND(BE$1,'NFR repository'!$U95)&gt;0,FALSE)),'NFR repository'!$I95,0)</f>
        <v>0</v>
      </c>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row>
    <row r="96" spans="1:84" ht="45" x14ac:dyDescent="0.25">
      <c r="A96" s="2"/>
      <c r="B96" s="193" t="s">
        <v>452</v>
      </c>
      <c r="C96" s="194" t="s">
        <v>387</v>
      </c>
      <c r="D96" s="83" t="s">
        <v>771</v>
      </c>
      <c r="E96" s="36" t="s">
        <v>297</v>
      </c>
      <c r="F96" s="38" t="s">
        <v>290</v>
      </c>
      <c r="G96" s="78" t="s">
        <v>290</v>
      </c>
      <c r="H96" s="35" t="s">
        <v>472</v>
      </c>
      <c r="I96" s="72" t="s">
        <v>41</v>
      </c>
      <c r="J96" s="215"/>
      <c r="K96" s="215"/>
      <c r="L96" s="195"/>
      <c r="M96" s="51" t="s">
        <v>558</v>
      </c>
      <c r="N96" s="51" t="s">
        <v>563</v>
      </c>
      <c r="O96" s="51" t="s">
        <v>578</v>
      </c>
      <c r="P96" s="51" t="s">
        <v>578</v>
      </c>
      <c r="Q96" s="51" t="s">
        <v>135</v>
      </c>
      <c r="R96" s="51" t="s">
        <v>135</v>
      </c>
      <c r="S96" s="35" t="s">
        <v>46</v>
      </c>
      <c r="T96" s="38" t="s">
        <v>179</v>
      </c>
      <c r="U96" s="35" t="s">
        <v>11</v>
      </c>
      <c r="V96" s="35" t="s">
        <v>11</v>
      </c>
      <c r="W96" s="3"/>
      <c r="X96" s="3"/>
      <c r="Y96" s="3"/>
      <c r="Z96" s="3" t="s">
        <v>128</v>
      </c>
      <c r="AA96" s="3"/>
      <c r="AB96" s="3"/>
      <c r="AC96" s="3"/>
      <c r="AD96" s="3" t="s">
        <v>128</v>
      </c>
      <c r="AE96" s="3"/>
      <c r="AF96" s="3"/>
      <c r="AG96" s="3" t="s">
        <v>128</v>
      </c>
      <c r="AH96" s="3" t="s">
        <v>128</v>
      </c>
      <c r="AI96" s="3"/>
      <c r="AJ96" s="3"/>
      <c r="AK96" s="3"/>
      <c r="AL96" s="3"/>
      <c r="AM96" s="3"/>
      <c r="AN96" s="3"/>
      <c r="AO96" s="3"/>
      <c r="AP96" s="3">
        <v>2</v>
      </c>
      <c r="AQ96" s="3">
        <v>2</v>
      </c>
      <c r="AR96" s="2"/>
      <c r="AS96" s="92" t="e">
        <f ca="1">IF(AND('NFR repository'!H96=Params!$I$3,INDIRECT("'NFR repository'!L" &amp; ROW('NFR repository'!A96) &amp; "C" &amp; TEXT(24 + $AS$2,"0"),FALSE)&lt;&gt;""),'NFR repository'!I96,0)</f>
        <v>#REF!</v>
      </c>
      <c r="AT96" s="168" t="e">
        <f ca="1">IF(AND('NFR repository'!H96=Params!$I$3,INDIRECT("'NFR repository'!L" &amp; ROW('NFR repository'!R96) &amp; "C" &amp; TEXT(28 + $AT$2,"0"),FALSE)&lt;&gt;""),'NFR repository'!I96,0)</f>
        <v>#REF!</v>
      </c>
      <c r="AU96" s="168" t="e">
        <f ca="1">IF(AND('NFR repository'!H96=Params!$I$3,INDIRECT("'NFR repository'!L" &amp; ROW('NFR repository'!R96) &amp; "C" &amp; TEXT(32 + $AU$2,"0"),FALSE)&lt;&gt;""),'NFR repository'!I96,0)</f>
        <v>#REF!</v>
      </c>
      <c r="AV96" s="233" t="e">
        <f ca="1">IF(AND('NFR repository'!H96=Params!$I$3,INDIRECT("'NFR repository'!L" &amp; ROW('NFR repository'!R96) &amp; "C" &amp; TEXT(36 + $AV$2,"0"),FALSE)&lt;&gt;""),'NFR repository'!I96,0)</f>
        <v>#REF!</v>
      </c>
      <c r="AW96" s="92">
        <f>IF(AND('NFR repository'!$H96=Params!$I$3,IFERROR(FIND(AW$1,'NFR repository'!$U96)&gt;0,FALSE)),'NFR repository'!$I96,0)</f>
        <v>0</v>
      </c>
      <c r="AX96" s="231">
        <f>IF(AND('NFR repository'!$H96=Params!$I$3,Synthesis!$I$8&lt;&gt;Params!$B$17,IFERROR(FIND(AX$1,'NFR repository'!$U96)&gt;0,FALSE)),'NFR repository'!$I96,0)</f>
        <v>0</v>
      </c>
      <c r="AY96" s="231">
        <f>IF(AND('NFR repository'!$H96=Params!$I$3,IFERROR(FIND(AY$1,'NFR repository'!$U96)&gt;0,FALSE)),'NFR repository'!$I96,0)</f>
        <v>0</v>
      </c>
      <c r="AZ96" s="231">
        <f>IF(AND('NFR repository'!$H96=Params!$I$3,IFERROR(FIND(AZ$1,'NFR repository'!$U96)&gt;0,FALSE)),'NFR repository'!$I96,0)</f>
        <v>0</v>
      </c>
      <c r="BA96" s="231">
        <f>IF(AND('NFR repository'!$H96=Params!$I$3,IFERROR(FIND(BA$1,'NFR repository'!$U96)&gt;0,FALSE)),'NFR repository'!$I96,0)</f>
        <v>0</v>
      </c>
      <c r="BB96" s="231">
        <f>IF(AND('NFR repository'!$H96=Params!$I$3,IFERROR(FIND(BB$1,'NFR repository'!$U96)&gt;0,FALSE)),'NFR repository'!$I96,0)</f>
        <v>0</v>
      </c>
      <c r="BC96" s="231">
        <f>IF(AND('NFR repository'!$H96=Params!$I$3,IFERROR(FIND(BC$1,'NFR repository'!$U96)&gt;0,FALSE)),'NFR repository'!$I96,0)</f>
        <v>0</v>
      </c>
      <c r="BD96" s="231">
        <f>IF(AND('NFR repository'!$H96=Params!$I$3,IFERROR(FIND(BD$1,'NFR repository'!$U96)&gt;0,FALSE)),'NFR repository'!$I96,0)</f>
        <v>0</v>
      </c>
      <c r="BE96" s="93">
        <f>IF(AND('NFR repository'!$H96=Params!$I$3,IFERROR(FIND(BE$1,'NFR repository'!$U96)&gt;0,FALSE)),'NFR repository'!$I96,0)</f>
        <v>0</v>
      </c>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row>
    <row r="97" spans="1:84" ht="45" x14ac:dyDescent="0.25">
      <c r="A97" s="2"/>
      <c r="B97" s="193" t="s">
        <v>453</v>
      </c>
      <c r="C97" s="194" t="s">
        <v>388</v>
      </c>
      <c r="D97" s="36" t="s">
        <v>137</v>
      </c>
      <c r="E97" s="36" t="s">
        <v>297</v>
      </c>
      <c r="F97" s="38" t="s">
        <v>290</v>
      </c>
      <c r="G97" s="78" t="s">
        <v>290</v>
      </c>
      <c r="H97" s="35" t="s">
        <v>472</v>
      </c>
      <c r="I97" s="72" t="s">
        <v>41</v>
      </c>
      <c r="J97" s="215"/>
      <c r="K97" s="215"/>
      <c r="L97" s="195"/>
      <c r="M97" s="51" t="s">
        <v>558</v>
      </c>
      <c r="N97" s="51" t="s">
        <v>563</v>
      </c>
      <c r="O97" s="51" t="s">
        <v>578</v>
      </c>
      <c r="P97" s="51" t="s">
        <v>578</v>
      </c>
      <c r="Q97" s="51" t="s">
        <v>135</v>
      </c>
      <c r="R97" s="51" t="s">
        <v>314</v>
      </c>
      <c r="S97" s="35" t="s">
        <v>46</v>
      </c>
      <c r="T97" s="38" t="s">
        <v>178</v>
      </c>
      <c r="U97" s="35" t="s">
        <v>714</v>
      </c>
      <c r="V97" s="35" t="s">
        <v>11</v>
      </c>
      <c r="W97" s="3" t="s">
        <v>128</v>
      </c>
      <c r="X97" s="3" t="s">
        <v>128</v>
      </c>
      <c r="Y97" s="3"/>
      <c r="Z97" s="3"/>
      <c r="AA97" s="3" t="s">
        <v>128</v>
      </c>
      <c r="AB97" s="3" t="s">
        <v>128</v>
      </c>
      <c r="AC97" s="3"/>
      <c r="AD97" s="3"/>
      <c r="AE97" s="3" t="s">
        <v>128</v>
      </c>
      <c r="AF97" s="3" t="s">
        <v>128</v>
      </c>
      <c r="AG97" s="3"/>
      <c r="AH97" s="3"/>
      <c r="AI97" s="3"/>
      <c r="AJ97" s="3"/>
      <c r="AK97" s="3"/>
      <c r="AL97" s="3"/>
      <c r="AM97" s="3"/>
      <c r="AN97" s="3"/>
      <c r="AO97" s="3" t="s">
        <v>128</v>
      </c>
      <c r="AP97" s="3">
        <v>3</v>
      </c>
      <c r="AQ97" s="3">
        <v>1</v>
      </c>
      <c r="AR97" s="2"/>
      <c r="AS97" s="92" t="e">
        <f ca="1">IF(AND('NFR repository'!H97=Params!$I$3,INDIRECT("'NFR repository'!L" &amp; ROW('NFR repository'!A97) &amp; "C" &amp; TEXT(24 + $AS$2,"0"),FALSE)&lt;&gt;""),'NFR repository'!I97,0)</f>
        <v>#REF!</v>
      </c>
      <c r="AT97" s="168" t="e">
        <f ca="1">IF(AND('NFR repository'!H97=Params!$I$3,INDIRECT("'NFR repository'!L" &amp; ROW('NFR repository'!R97) &amp; "C" &amp; TEXT(28 + $AT$2,"0"),FALSE)&lt;&gt;""),'NFR repository'!I97,0)</f>
        <v>#REF!</v>
      </c>
      <c r="AU97" s="168" t="e">
        <f ca="1">IF(AND('NFR repository'!H97=Params!$I$3,INDIRECT("'NFR repository'!L" &amp; ROW('NFR repository'!R97) &amp; "C" &amp; TEXT(32 + $AU$2,"0"),FALSE)&lt;&gt;""),'NFR repository'!I97,0)</f>
        <v>#REF!</v>
      </c>
      <c r="AV97" s="233" t="e">
        <f ca="1">IF(AND('NFR repository'!H97=Params!$I$3,INDIRECT("'NFR repository'!L" &amp; ROW('NFR repository'!R97) &amp; "C" &amp; TEXT(36 + $AV$2,"0"),FALSE)&lt;&gt;""),'NFR repository'!I97,0)</f>
        <v>#REF!</v>
      </c>
      <c r="AW97" s="92">
        <f>IF(AND('NFR repository'!$H97=Params!$I$3,IFERROR(FIND(AW$1,'NFR repository'!$U97)&gt;0,FALSE)),'NFR repository'!$I97,0)</f>
        <v>0</v>
      </c>
      <c r="AX97" s="231">
        <f>IF(AND('NFR repository'!$H97=Params!$I$3,Synthesis!$I$8&lt;&gt;Params!$B$17,IFERROR(FIND(AX$1,'NFR repository'!$U97)&gt;0,FALSE)),'NFR repository'!$I97,0)</f>
        <v>0</v>
      </c>
      <c r="AY97" s="231">
        <f>IF(AND('NFR repository'!$H97=Params!$I$3,IFERROR(FIND(AY$1,'NFR repository'!$U97)&gt;0,FALSE)),'NFR repository'!$I97,0)</f>
        <v>0</v>
      </c>
      <c r="AZ97" s="231">
        <f>IF(AND('NFR repository'!$H97=Params!$I$3,IFERROR(FIND(AZ$1,'NFR repository'!$U97)&gt;0,FALSE)),'NFR repository'!$I97,0)</f>
        <v>0</v>
      </c>
      <c r="BA97" s="231">
        <f>IF(AND('NFR repository'!$H97=Params!$I$3,IFERROR(FIND(BA$1,'NFR repository'!$U97)&gt;0,FALSE)),'NFR repository'!$I97,0)</f>
        <v>0</v>
      </c>
      <c r="BB97" s="231">
        <f>IF(AND('NFR repository'!$H97=Params!$I$3,IFERROR(FIND(BB$1,'NFR repository'!$U97)&gt;0,FALSE)),'NFR repository'!$I97,0)</f>
        <v>0</v>
      </c>
      <c r="BC97" s="231">
        <f>IF(AND('NFR repository'!$H97=Params!$I$3,IFERROR(FIND(BC$1,'NFR repository'!$U97)&gt;0,FALSE)),'NFR repository'!$I97,0)</f>
        <v>0</v>
      </c>
      <c r="BD97" s="231">
        <f>IF(AND('NFR repository'!$H97=Params!$I$3,IFERROR(FIND(BD$1,'NFR repository'!$U97)&gt;0,FALSE)),'NFR repository'!$I97,0)</f>
        <v>0</v>
      </c>
      <c r="BE97" s="93">
        <f>IF(AND('NFR repository'!$H97=Params!$I$3,IFERROR(FIND(BE$1,'NFR repository'!$U97)&gt;0,FALSE)),'NFR repository'!$I97,0)</f>
        <v>0</v>
      </c>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row>
    <row r="98" spans="1:84" ht="45" x14ac:dyDescent="0.25">
      <c r="A98" s="2"/>
      <c r="B98" s="193" t="s">
        <v>454</v>
      </c>
      <c r="C98" s="194" t="s">
        <v>389</v>
      </c>
      <c r="D98" s="36" t="s">
        <v>137</v>
      </c>
      <c r="E98" s="36" t="s">
        <v>297</v>
      </c>
      <c r="F98" s="38" t="s">
        <v>290</v>
      </c>
      <c r="G98" s="78" t="s">
        <v>290</v>
      </c>
      <c r="H98" s="35" t="s">
        <v>472</v>
      </c>
      <c r="I98" s="72" t="s">
        <v>41</v>
      </c>
      <c r="J98" s="215"/>
      <c r="K98" s="215"/>
      <c r="L98" s="195"/>
      <c r="M98" s="51" t="s">
        <v>558</v>
      </c>
      <c r="N98" s="51" t="s">
        <v>563</v>
      </c>
      <c r="O98" s="51" t="s">
        <v>578</v>
      </c>
      <c r="P98" s="51" t="s">
        <v>578</v>
      </c>
      <c r="Q98" s="51" t="s">
        <v>135</v>
      </c>
      <c r="R98" s="51" t="s">
        <v>135</v>
      </c>
      <c r="S98" s="35" t="s">
        <v>46</v>
      </c>
      <c r="T98" s="38" t="s">
        <v>179</v>
      </c>
      <c r="U98" s="35" t="s">
        <v>11</v>
      </c>
      <c r="V98" s="35" t="s">
        <v>11</v>
      </c>
      <c r="W98" s="3"/>
      <c r="X98" s="3"/>
      <c r="Y98" s="3" t="s">
        <v>128</v>
      </c>
      <c r="Z98" s="3" t="s">
        <v>128</v>
      </c>
      <c r="AA98" s="3"/>
      <c r="AB98" s="3"/>
      <c r="AC98" s="3" t="s">
        <v>128</v>
      </c>
      <c r="AD98" s="3" t="s">
        <v>128</v>
      </c>
      <c r="AE98" s="3"/>
      <c r="AF98" s="3"/>
      <c r="AG98" s="3" t="s">
        <v>128</v>
      </c>
      <c r="AH98" s="3" t="s">
        <v>128</v>
      </c>
      <c r="AI98" s="3"/>
      <c r="AJ98" s="3"/>
      <c r="AK98" s="3"/>
      <c r="AL98" s="3"/>
      <c r="AM98" s="3"/>
      <c r="AN98" s="3"/>
      <c r="AO98" s="3"/>
      <c r="AP98" s="3">
        <v>3</v>
      </c>
      <c r="AQ98" s="3">
        <v>2</v>
      </c>
      <c r="AR98" s="2"/>
      <c r="AS98" s="92" t="e">
        <f ca="1">IF(AND('NFR repository'!H98=Params!$I$3,INDIRECT("'NFR repository'!L" &amp; ROW('NFR repository'!A98) &amp; "C" &amp; TEXT(24 + $AS$2,"0"),FALSE)&lt;&gt;""),'NFR repository'!I98,0)</f>
        <v>#REF!</v>
      </c>
      <c r="AT98" s="168" t="e">
        <f ca="1">IF(AND('NFR repository'!H98=Params!$I$3,INDIRECT("'NFR repository'!L" &amp; ROW('NFR repository'!R98) &amp; "C" &amp; TEXT(28 + $AT$2,"0"),FALSE)&lt;&gt;""),'NFR repository'!I98,0)</f>
        <v>#REF!</v>
      </c>
      <c r="AU98" s="168" t="e">
        <f ca="1">IF(AND('NFR repository'!H98=Params!$I$3,INDIRECT("'NFR repository'!L" &amp; ROW('NFR repository'!R98) &amp; "C" &amp; TEXT(32 + $AU$2,"0"),FALSE)&lt;&gt;""),'NFR repository'!I98,0)</f>
        <v>#REF!</v>
      </c>
      <c r="AV98" s="233" t="e">
        <f ca="1">IF(AND('NFR repository'!H98=Params!$I$3,INDIRECT("'NFR repository'!L" &amp; ROW('NFR repository'!R98) &amp; "C" &amp; TEXT(36 + $AV$2,"0"),FALSE)&lt;&gt;""),'NFR repository'!I98,0)</f>
        <v>#REF!</v>
      </c>
      <c r="AW98" s="92">
        <f>IF(AND('NFR repository'!$H98=Params!$I$3,IFERROR(FIND(AW$1,'NFR repository'!$U98)&gt;0,FALSE)),'NFR repository'!$I98,0)</f>
        <v>0</v>
      </c>
      <c r="AX98" s="231">
        <f>IF(AND('NFR repository'!$H98=Params!$I$3,Synthesis!$I$8&lt;&gt;Params!$B$17,IFERROR(FIND(AX$1,'NFR repository'!$U98)&gt;0,FALSE)),'NFR repository'!$I98,0)</f>
        <v>0</v>
      </c>
      <c r="AY98" s="231">
        <f>IF(AND('NFR repository'!$H98=Params!$I$3,IFERROR(FIND(AY$1,'NFR repository'!$U98)&gt;0,FALSE)),'NFR repository'!$I98,0)</f>
        <v>0</v>
      </c>
      <c r="AZ98" s="231">
        <f>IF(AND('NFR repository'!$H98=Params!$I$3,IFERROR(FIND(AZ$1,'NFR repository'!$U98)&gt;0,FALSE)),'NFR repository'!$I98,0)</f>
        <v>0</v>
      </c>
      <c r="BA98" s="231">
        <f>IF(AND('NFR repository'!$H98=Params!$I$3,IFERROR(FIND(BA$1,'NFR repository'!$U98)&gt;0,FALSE)),'NFR repository'!$I98,0)</f>
        <v>0</v>
      </c>
      <c r="BB98" s="231">
        <f>IF(AND('NFR repository'!$H98=Params!$I$3,IFERROR(FIND(BB$1,'NFR repository'!$U98)&gt;0,FALSE)),'NFR repository'!$I98,0)</f>
        <v>0</v>
      </c>
      <c r="BC98" s="231">
        <f>IF(AND('NFR repository'!$H98=Params!$I$3,IFERROR(FIND(BC$1,'NFR repository'!$U98)&gt;0,FALSE)),'NFR repository'!$I98,0)</f>
        <v>0</v>
      </c>
      <c r="BD98" s="231">
        <f>IF(AND('NFR repository'!$H98=Params!$I$3,IFERROR(FIND(BD$1,'NFR repository'!$U98)&gt;0,FALSE)),'NFR repository'!$I98,0)</f>
        <v>0</v>
      </c>
      <c r="BE98" s="93">
        <f>IF(AND('NFR repository'!$H98=Params!$I$3,IFERROR(FIND(BE$1,'NFR repository'!$U98)&gt;0,FALSE)),'NFR repository'!$I98,0)</f>
        <v>0</v>
      </c>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row>
    <row r="99" spans="1:84" ht="45" x14ac:dyDescent="0.25">
      <c r="A99" s="2"/>
      <c r="B99" s="193" t="s">
        <v>233</v>
      </c>
      <c r="C99" s="194" t="s">
        <v>390</v>
      </c>
      <c r="D99" s="83" t="s">
        <v>770</v>
      </c>
      <c r="E99" s="36"/>
      <c r="F99" s="38" t="s">
        <v>147</v>
      </c>
      <c r="G99" s="51" t="s">
        <v>742</v>
      </c>
      <c r="H99" s="35" t="s">
        <v>472</v>
      </c>
      <c r="I99" s="37" t="s">
        <v>41</v>
      </c>
      <c r="J99" s="215"/>
      <c r="K99" s="215"/>
      <c r="L99" s="195"/>
      <c r="M99" s="51" t="s">
        <v>558</v>
      </c>
      <c r="N99" s="51" t="s">
        <v>148</v>
      </c>
      <c r="O99" s="51" t="s">
        <v>574</v>
      </c>
      <c r="P99" s="51" t="s">
        <v>577</v>
      </c>
      <c r="Q99" s="51" t="s">
        <v>46</v>
      </c>
      <c r="R99" s="51" t="s">
        <v>46</v>
      </c>
      <c r="S99" s="35" t="s">
        <v>46</v>
      </c>
      <c r="T99" s="35" t="s">
        <v>46</v>
      </c>
      <c r="U99" s="35" t="s">
        <v>11</v>
      </c>
      <c r="V99" s="35" t="s">
        <v>11</v>
      </c>
      <c r="W99" s="3"/>
      <c r="X99" s="3"/>
      <c r="Y99" s="3"/>
      <c r="Z99" s="3"/>
      <c r="AA99" s="3"/>
      <c r="AB99" s="3"/>
      <c r="AC99" s="3"/>
      <c r="AD99" s="3"/>
      <c r="AE99" s="3"/>
      <c r="AF99" s="3"/>
      <c r="AG99" s="3"/>
      <c r="AH99" s="3"/>
      <c r="AI99" s="3"/>
      <c r="AJ99" s="3"/>
      <c r="AK99" s="3" t="s">
        <v>128</v>
      </c>
      <c r="AL99" s="3" t="s">
        <v>128</v>
      </c>
      <c r="AM99" s="3"/>
      <c r="AN99" s="3"/>
      <c r="AO99" s="3"/>
      <c r="AP99" s="3"/>
      <c r="AQ99" s="3"/>
      <c r="AR99" s="2"/>
      <c r="AS99" s="92" t="e">
        <f ca="1">IF(AND('NFR repository'!H99=Params!$I$3,INDIRECT("'NFR repository'!L" &amp; ROW('NFR repository'!A99) &amp; "C" &amp; TEXT(24 + $AS$2,"0"),FALSE)&lt;&gt;""),'NFR repository'!I99,0)</f>
        <v>#REF!</v>
      </c>
      <c r="AT99" s="168" t="e">
        <f ca="1">IF(AND('NFR repository'!H99=Params!$I$3,INDIRECT("'NFR repository'!L" &amp; ROW('NFR repository'!R99) &amp; "C" &amp; TEXT(28 + $AT$2,"0"),FALSE)&lt;&gt;""),'NFR repository'!I99,0)</f>
        <v>#REF!</v>
      </c>
      <c r="AU99" s="168" t="e">
        <f ca="1">IF(AND('NFR repository'!H99=Params!$I$3,INDIRECT("'NFR repository'!L" &amp; ROW('NFR repository'!R99) &amp; "C" &amp; TEXT(32 + $AU$2,"0"),FALSE)&lt;&gt;""),'NFR repository'!I99,0)</f>
        <v>#REF!</v>
      </c>
      <c r="AV99" s="233" t="e">
        <f ca="1">IF(AND('NFR repository'!H99=Params!$I$3,INDIRECT("'NFR repository'!L" &amp; ROW('NFR repository'!R99) &amp; "C" &amp; TEXT(36 + $AV$2,"0"),FALSE)&lt;&gt;""),'NFR repository'!I99,0)</f>
        <v>#REF!</v>
      </c>
      <c r="AW99" s="92">
        <f>IF(AND('NFR repository'!$H99=Params!$I$3,IFERROR(FIND(AW$1,'NFR repository'!$U99)&gt;0,FALSE)),'NFR repository'!$I99,0)</f>
        <v>0</v>
      </c>
      <c r="AX99" s="231">
        <f>IF(AND('NFR repository'!$H99=Params!$I$3,Synthesis!$I$8&lt;&gt;Params!$B$17,IFERROR(FIND(AX$1,'NFR repository'!$U99)&gt;0,FALSE)),'NFR repository'!$I99,0)</f>
        <v>0</v>
      </c>
      <c r="AY99" s="231">
        <f>IF(AND('NFR repository'!$H99=Params!$I$3,IFERROR(FIND(AY$1,'NFR repository'!$U99)&gt;0,FALSE)),'NFR repository'!$I99,0)</f>
        <v>0</v>
      </c>
      <c r="AZ99" s="231">
        <f>IF(AND('NFR repository'!$H99=Params!$I$3,IFERROR(FIND(AZ$1,'NFR repository'!$U99)&gt;0,FALSE)),'NFR repository'!$I99,0)</f>
        <v>0</v>
      </c>
      <c r="BA99" s="231">
        <f>IF(AND('NFR repository'!$H99=Params!$I$3,IFERROR(FIND(BA$1,'NFR repository'!$U99)&gt;0,FALSE)),'NFR repository'!$I99,0)</f>
        <v>0</v>
      </c>
      <c r="BB99" s="231">
        <f>IF(AND('NFR repository'!$H99=Params!$I$3,IFERROR(FIND(BB$1,'NFR repository'!$U99)&gt;0,FALSE)),'NFR repository'!$I99,0)</f>
        <v>0</v>
      </c>
      <c r="BC99" s="231">
        <f>IF(AND('NFR repository'!$H99=Params!$I$3,IFERROR(FIND(BC$1,'NFR repository'!$U99)&gt;0,FALSE)),'NFR repository'!$I99,0)</f>
        <v>0</v>
      </c>
      <c r="BD99" s="231">
        <f>IF(AND('NFR repository'!$H99=Params!$I$3,IFERROR(FIND(BD$1,'NFR repository'!$U99)&gt;0,FALSE)),'NFR repository'!$I99,0)</f>
        <v>0</v>
      </c>
      <c r="BE99" s="93">
        <f>IF(AND('NFR repository'!$H99=Params!$I$3,IFERROR(FIND(BE$1,'NFR repository'!$U99)&gt;0,FALSE)),'NFR repository'!$I99,0)</f>
        <v>0</v>
      </c>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row>
    <row r="100" spans="1:84" ht="45" x14ac:dyDescent="0.25">
      <c r="A100" s="2"/>
      <c r="B100" s="193" t="s">
        <v>614</v>
      </c>
      <c r="C100" s="194" t="s">
        <v>688</v>
      </c>
      <c r="D100" s="83" t="s">
        <v>769</v>
      </c>
      <c r="E100" s="36" t="s">
        <v>689</v>
      </c>
      <c r="F100" s="35" t="s">
        <v>610</v>
      </c>
      <c r="G100" s="78" t="s">
        <v>672</v>
      </c>
      <c r="H100" s="35" t="s">
        <v>472</v>
      </c>
      <c r="I100" s="72" t="s">
        <v>41</v>
      </c>
      <c r="J100" s="215"/>
      <c r="K100" s="215"/>
      <c r="L100" s="195"/>
      <c r="M100" s="51" t="s">
        <v>130</v>
      </c>
      <c r="N100" s="51" t="s">
        <v>308</v>
      </c>
      <c r="O100" s="51" t="s">
        <v>575</v>
      </c>
      <c r="P100" s="51" t="s">
        <v>576</v>
      </c>
      <c r="Q100" s="51" t="s">
        <v>46</v>
      </c>
      <c r="R100" s="51" t="s">
        <v>46</v>
      </c>
      <c r="S100" s="35" t="s">
        <v>46</v>
      </c>
      <c r="T100" s="35" t="s">
        <v>46</v>
      </c>
      <c r="U100" s="35" t="s">
        <v>11</v>
      </c>
      <c r="V100" s="35" t="s">
        <v>11</v>
      </c>
      <c r="W100" s="3"/>
      <c r="X100" s="3"/>
      <c r="Y100" s="3"/>
      <c r="Z100" s="3"/>
      <c r="AA100" s="3"/>
      <c r="AB100" s="3"/>
      <c r="AC100" s="3"/>
      <c r="AD100" s="3"/>
      <c r="AE100" s="3"/>
      <c r="AF100" s="3"/>
      <c r="AG100" s="3"/>
      <c r="AH100" s="3"/>
      <c r="AI100" s="3"/>
      <c r="AJ100" s="3"/>
      <c r="AK100" s="3"/>
      <c r="AL100" s="3"/>
      <c r="AM100" s="3"/>
      <c r="AN100" s="3"/>
      <c r="AO100" s="3"/>
      <c r="AP100" s="3"/>
      <c r="AQ100" s="3"/>
      <c r="AR100" s="2"/>
      <c r="AS100" s="92" t="e">
        <f ca="1">IF(AND('NFR repository'!H100=Params!$I$3,INDIRECT("'NFR repository'!L" &amp; ROW('NFR repository'!A100) &amp; "C" &amp; TEXT(24 + $AS$2,"0"),FALSE)&lt;&gt;""),'NFR repository'!I100,0)</f>
        <v>#REF!</v>
      </c>
      <c r="AT100" s="168" t="e">
        <f ca="1">IF(AND('NFR repository'!H100=Params!$I$3,INDIRECT("'NFR repository'!L" &amp; ROW('NFR repository'!R100) &amp; "C" &amp; TEXT(28 + $AT$2,"0"),FALSE)&lt;&gt;""),'NFR repository'!I100,0)</f>
        <v>#REF!</v>
      </c>
      <c r="AU100" s="168" t="e">
        <f ca="1">IF(AND('NFR repository'!H100=Params!$I$3,INDIRECT("'NFR repository'!L" &amp; ROW('NFR repository'!R100) &amp; "C" &amp; TEXT(32 + $AU$2,"0"),FALSE)&lt;&gt;""),'NFR repository'!I100,0)</f>
        <v>#REF!</v>
      </c>
      <c r="AV100" s="233" t="e">
        <f ca="1">IF(AND('NFR repository'!H100=Params!$I$3,INDIRECT("'NFR repository'!L" &amp; ROW('NFR repository'!R100) &amp; "C" &amp; TEXT(36 + $AV$2,"0"),FALSE)&lt;&gt;""),'NFR repository'!I100,0)</f>
        <v>#REF!</v>
      </c>
      <c r="AW100" s="92">
        <f>IF(AND('NFR repository'!$H100=Params!$I$3,IFERROR(FIND(AW$1,'NFR repository'!$U100)&gt;0,FALSE)),'NFR repository'!$I100,0)</f>
        <v>0</v>
      </c>
      <c r="AX100" s="231">
        <f>IF(AND('NFR repository'!$H100=Params!$I$3,Synthesis!$I$8&lt;&gt;Params!$B$17,IFERROR(FIND(AX$1,'NFR repository'!$U100)&gt;0,FALSE)),'NFR repository'!$I100,0)</f>
        <v>0</v>
      </c>
      <c r="AY100" s="231">
        <f>IF(AND('NFR repository'!$H100=Params!$I$3,IFERROR(FIND(AY$1,'NFR repository'!$U100)&gt;0,FALSE)),'NFR repository'!$I100,0)</f>
        <v>0</v>
      </c>
      <c r="AZ100" s="231">
        <f>IF(AND('NFR repository'!$H100=Params!$I$3,IFERROR(FIND(AZ$1,'NFR repository'!$U100)&gt;0,FALSE)),'NFR repository'!$I100,0)</f>
        <v>0</v>
      </c>
      <c r="BA100" s="231">
        <f>IF(AND('NFR repository'!$H100=Params!$I$3,IFERROR(FIND(BA$1,'NFR repository'!$U100)&gt;0,FALSE)),'NFR repository'!$I100,0)</f>
        <v>0</v>
      </c>
      <c r="BB100" s="231">
        <f>IF(AND('NFR repository'!$H100=Params!$I$3,IFERROR(FIND(BB$1,'NFR repository'!$U100)&gt;0,FALSE)),'NFR repository'!$I100,0)</f>
        <v>0</v>
      </c>
      <c r="BC100" s="231">
        <f>IF(AND('NFR repository'!$H100=Params!$I$3,IFERROR(FIND(BC$1,'NFR repository'!$U100)&gt;0,FALSE)),'NFR repository'!$I100,0)</f>
        <v>0</v>
      </c>
      <c r="BD100" s="231">
        <f>IF(AND('NFR repository'!$H100=Params!$I$3,IFERROR(FIND(BD$1,'NFR repository'!$U100)&gt;0,FALSE)),'NFR repository'!$I100,0)</f>
        <v>0</v>
      </c>
      <c r="BE100" s="93">
        <f>IF(AND('NFR repository'!$H100=Params!$I$3,IFERROR(FIND(BE$1,'NFR repository'!$U100)&gt;0,FALSE)),'NFR repository'!$I100,0)</f>
        <v>0</v>
      </c>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row>
    <row r="101" spans="1:84" ht="45" x14ac:dyDescent="0.25">
      <c r="A101" s="2"/>
      <c r="B101" s="210" t="s">
        <v>687</v>
      </c>
      <c r="C101" s="204" t="s">
        <v>735</v>
      </c>
      <c r="D101" s="38" t="s">
        <v>757</v>
      </c>
      <c r="E101" s="38"/>
      <c r="F101" s="38" t="s">
        <v>755</v>
      </c>
      <c r="G101" s="38" t="s">
        <v>756</v>
      </c>
      <c r="H101" s="35" t="s">
        <v>472</v>
      </c>
      <c r="I101" s="72" t="s">
        <v>41</v>
      </c>
      <c r="J101" s="227"/>
      <c r="K101" s="227"/>
      <c r="L101" s="201"/>
      <c r="M101" s="38" t="s">
        <v>130</v>
      </c>
      <c r="N101" s="38" t="s">
        <v>139</v>
      </c>
      <c r="O101" s="38" t="s">
        <v>577</v>
      </c>
      <c r="P101" s="38" t="s">
        <v>577</v>
      </c>
      <c r="Q101" s="38" t="s">
        <v>156</v>
      </c>
      <c r="R101" s="38" t="s">
        <v>151</v>
      </c>
      <c r="S101" s="38" t="s">
        <v>155</v>
      </c>
      <c r="T101" s="38" t="s">
        <v>46</v>
      </c>
      <c r="U101" s="38" t="s">
        <v>714</v>
      </c>
      <c r="V101" s="38" t="s">
        <v>11</v>
      </c>
      <c r="W101" s="38" t="s">
        <v>128</v>
      </c>
      <c r="X101" s="38" t="s">
        <v>128</v>
      </c>
      <c r="Y101" s="38" t="s">
        <v>128</v>
      </c>
      <c r="Z101" s="38" t="s">
        <v>128</v>
      </c>
      <c r="AA101" s="38" t="s">
        <v>128</v>
      </c>
      <c r="AB101" s="38" t="s">
        <v>128</v>
      </c>
      <c r="AC101" s="38" t="s">
        <v>128</v>
      </c>
      <c r="AD101" s="38" t="s">
        <v>128</v>
      </c>
      <c r="AE101" s="38" t="s">
        <v>128</v>
      </c>
      <c r="AF101" s="38" t="s">
        <v>128</v>
      </c>
      <c r="AG101" s="38" t="s">
        <v>128</v>
      </c>
      <c r="AH101" s="38" t="s">
        <v>128</v>
      </c>
      <c r="AI101" s="38" t="s">
        <v>128</v>
      </c>
      <c r="AJ101" s="38" t="s">
        <v>128</v>
      </c>
      <c r="AK101" s="38" t="s">
        <v>128</v>
      </c>
      <c r="AL101" s="38" t="s">
        <v>128</v>
      </c>
      <c r="AM101" s="38"/>
      <c r="AN101" s="38"/>
      <c r="AO101" s="38" t="s">
        <v>128</v>
      </c>
      <c r="AP101" s="38"/>
      <c r="AQ101" s="38"/>
      <c r="AR101" s="2"/>
      <c r="AS101" s="92" t="e">
        <f ca="1">IF(AND('NFR repository'!H101=Params!$I$3,INDIRECT("'NFR repository'!L" &amp; ROW('NFR repository'!A101) &amp; "C" &amp; TEXT(24 + $AS$2,"0"),FALSE)&lt;&gt;""),'NFR repository'!I101,0)</f>
        <v>#REF!</v>
      </c>
      <c r="AT101" s="168" t="e">
        <f ca="1">IF(AND('NFR repository'!H101=Params!$I$3,INDIRECT("'NFR repository'!L" &amp; ROW('NFR repository'!R101) &amp; "C" &amp; TEXT(28 + $AT$2,"0"),FALSE)&lt;&gt;""),'NFR repository'!I101,0)</f>
        <v>#REF!</v>
      </c>
      <c r="AU101" s="168" t="e">
        <f ca="1">IF(AND('NFR repository'!H101=Params!$I$3,INDIRECT("'NFR repository'!L" &amp; ROW('NFR repository'!R101) &amp; "C" &amp; TEXT(32 + $AU$2,"0"),FALSE)&lt;&gt;""),'NFR repository'!I101,0)</f>
        <v>#REF!</v>
      </c>
      <c r="AV101" s="233" t="e">
        <f ca="1">IF(AND('NFR repository'!H101=Params!$I$3,INDIRECT("'NFR repository'!L" &amp; ROW('NFR repository'!R101) &amp; "C" &amp; TEXT(36 + $AV$2,"0"),FALSE)&lt;&gt;""),'NFR repository'!I101,0)</f>
        <v>#REF!</v>
      </c>
      <c r="AW101" s="92">
        <f>IF(AND('NFR repository'!$H101=Params!$I$3,IFERROR(FIND(AW$1,'NFR repository'!$U101)&gt;0,FALSE)),'NFR repository'!$I101,0)</f>
        <v>0</v>
      </c>
      <c r="AX101" s="231">
        <f>IF(AND('NFR repository'!$H101=Params!$I$3,Synthesis!$I$8&lt;&gt;Params!$B$17,IFERROR(FIND(AX$1,'NFR repository'!$U101)&gt;0,FALSE)),'NFR repository'!$I101,0)</f>
        <v>0</v>
      </c>
      <c r="AY101" s="231">
        <f>IF(AND('NFR repository'!$H101=Params!$I$3,IFERROR(FIND(AY$1,'NFR repository'!$U101)&gt;0,FALSE)),'NFR repository'!$I101,0)</f>
        <v>0</v>
      </c>
      <c r="AZ101" s="231">
        <f>IF(AND('NFR repository'!$H101=Params!$I$3,IFERROR(FIND(AZ$1,'NFR repository'!$U101)&gt;0,FALSE)),'NFR repository'!$I101,0)</f>
        <v>0</v>
      </c>
      <c r="BA101" s="231">
        <f>IF(AND('NFR repository'!$H101=Params!$I$3,IFERROR(FIND(BA$1,'NFR repository'!$U101)&gt;0,FALSE)),'NFR repository'!$I101,0)</f>
        <v>0</v>
      </c>
      <c r="BB101" s="231">
        <f>IF(AND('NFR repository'!$H101=Params!$I$3,IFERROR(FIND(BB$1,'NFR repository'!$U101)&gt;0,FALSE)),'NFR repository'!$I101,0)</f>
        <v>0</v>
      </c>
      <c r="BC101" s="231">
        <f>IF(AND('NFR repository'!$H101=Params!$I$3,IFERROR(FIND(BC$1,'NFR repository'!$U101)&gt;0,FALSE)),'NFR repository'!$I101,0)</f>
        <v>0</v>
      </c>
      <c r="BD101" s="231">
        <f>IF(AND('NFR repository'!$H101=Params!$I$3,IFERROR(FIND(BD$1,'NFR repository'!$U101)&gt;0,FALSE)),'NFR repository'!$I101,0)</f>
        <v>0</v>
      </c>
      <c r="BE101" s="93">
        <f>IF(AND('NFR repository'!$H101=Params!$I$3,IFERROR(FIND(BE$1,'NFR repository'!$U101)&gt;0,FALSE)),'NFR repository'!$I101,0)</f>
        <v>0</v>
      </c>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row>
    <row r="102" spans="1:84" ht="60" x14ac:dyDescent="0.25">
      <c r="A102" s="2"/>
      <c r="B102" s="210" t="s">
        <v>720</v>
      </c>
      <c r="C102" s="204" t="s">
        <v>479</v>
      </c>
      <c r="D102" s="38" t="s">
        <v>768</v>
      </c>
      <c r="E102" s="38"/>
      <c r="F102" s="38" t="s">
        <v>583</v>
      </c>
      <c r="G102" s="38" t="s">
        <v>583</v>
      </c>
      <c r="H102" s="35" t="s">
        <v>472</v>
      </c>
      <c r="I102" s="72" t="s">
        <v>41</v>
      </c>
      <c r="J102" s="227"/>
      <c r="K102" s="227"/>
      <c r="L102" s="201"/>
      <c r="M102" s="38" t="s">
        <v>558</v>
      </c>
      <c r="N102" s="38" t="s">
        <v>663</v>
      </c>
      <c r="O102" s="38" t="s">
        <v>575</v>
      </c>
      <c r="P102" s="38" t="s">
        <v>577</v>
      </c>
      <c r="Q102" s="38" t="s">
        <v>156</v>
      </c>
      <c r="R102" s="38" t="s">
        <v>180</v>
      </c>
      <c r="S102" s="38" t="s">
        <v>181</v>
      </c>
      <c r="T102" s="38" t="s">
        <v>46</v>
      </c>
      <c r="U102" s="38" t="s">
        <v>11</v>
      </c>
      <c r="V102" s="38" t="s">
        <v>591</v>
      </c>
      <c r="W102" s="38"/>
      <c r="X102" s="38"/>
      <c r="Y102" s="38"/>
      <c r="Z102" s="38"/>
      <c r="AA102" s="38"/>
      <c r="AB102" s="38"/>
      <c r="AC102" s="38" t="s">
        <v>128</v>
      </c>
      <c r="AD102" s="38" t="s">
        <v>128</v>
      </c>
      <c r="AE102" s="38"/>
      <c r="AF102" s="38"/>
      <c r="AG102" s="38"/>
      <c r="AH102" s="38"/>
      <c r="AI102" s="38"/>
      <c r="AJ102" s="38"/>
      <c r="AK102" s="38"/>
      <c r="AL102" s="38"/>
      <c r="AM102" s="38"/>
      <c r="AN102" s="38"/>
      <c r="AO102" s="38"/>
      <c r="AP102" s="38"/>
      <c r="AQ102" s="38"/>
      <c r="AR102" s="2"/>
      <c r="AS102" s="92" t="e">
        <f ca="1">IF(AND('NFR repository'!H102=Params!$I$3,INDIRECT("'NFR repository'!L" &amp; ROW('NFR repository'!A102) &amp; "C" &amp; TEXT(24 + $AS$2,"0"),FALSE)&lt;&gt;""),'NFR repository'!I102,0)</f>
        <v>#REF!</v>
      </c>
      <c r="AT102" s="168" t="e">
        <f ca="1">IF(AND('NFR repository'!H102=Params!$I$3,INDIRECT("'NFR repository'!L" &amp; ROW('NFR repository'!R102) &amp; "C" &amp; TEXT(28 + $AT$2,"0"),FALSE)&lt;&gt;""),'NFR repository'!I102,0)</f>
        <v>#REF!</v>
      </c>
      <c r="AU102" s="168" t="e">
        <f ca="1">IF(AND('NFR repository'!H102=Params!$I$3,INDIRECT("'NFR repository'!L" &amp; ROW('NFR repository'!R102) &amp; "C" &amp; TEXT(32 + $AU$2,"0"),FALSE)&lt;&gt;""),'NFR repository'!I102,0)</f>
        <v>#REF!</v>
      </c>
      <c r="AV102" s="233" t="e">
        <f ca="1">IF(AND('NFR repository'!H102=Params!$I$3,INDIRECT("'NFR repository'!L" &amp; ROW('NFR repository'!R102) &amp; "C" &amp; TEXT(36 + $AV$2,"0"),FALSE)&lt;&gt;""),'NFR repository'!I102,0)</f>
        <v>#REF!</v>
      </c>
      <c r="AW102" s="92">
        <f>IF(AND('NFR repository'!$H102=Params!$I$3,IFERROR(FIND(AW$1,'NFR repository'!$U102)&gt;0,FALSE)),'NFR repository'!$I102,0)</f>
        <v>0</v>
      </c>
      <c r="AX102" s="231">
        <f>IF(AND('NFR repository'!$H102=Params!$I$3,Synthesis!$I$8&lt;&gt;Params!$B$17,IFERROR(FIND(AX$1,'NFR repository'!$U102)&gt;0,FALSE)),'NFR repository'!$I102,0)</f>
        <v>0</v>
      </c>
      <c r="AY102" s="231">
        <f>IF(AND('NFR repository'!$H102=Params!$I$3,IFERROR(FIND(AY$1,'NFR repository'!$U102)&gt;0,FALSE)),'NFR repository'!$I102,0)</f>
        <v>0</v>
      </c>
      <c r="AZ102" s="231">
        <f>IF(AND('NFR repository'!$H102=Params!$I$3,IFERROR(FIND(AZ$1,'NFR repository'!$U102)&gt;0,FALSE)),'NFR repository'!$I102,0)</f>
        <v>0</v>
      </c>
      <c r="BA102" s="231">
        <f>IF(AND('NFR repository'!$H102=Params!$I$3,IFERROR(FIND(BA$1,'NFR repository'!$U102)&gt;0,FALSE)),'NFR repository'!$I102,0)</f>
        <v>0</v>
      </c>
      <c r="BB102" s="231">
        <f>IF(AND('NFR repository'!$H102=Params!$I$3,IFERROR(FIND(BB$1,'NFR repository'!$U102)&gt;0,FALSE)),'NFR repository'!$I102,0)</f>
        <v>0</v>
      </c>
      <c r="BC102" s="231">
        <f>IF(AND('NFR repository'!$H102=Params!$I$3,IFERROR(FIND(BC$1,'NFR repository'!$U102)&gt;0,FALSE)),'NFR repository'!$I102,0)</f>
        <v>0</v>
      </c>
      <c r="BD102" s="231">
        <f>IF(AND('NFR repository'!$H102=Params!$I$3,IFERROR(FIND(BD$1,'NFR repository'!$U102)&gt;0,FALSE)),'NFR repository'!$I102,0)</f>
        <v>0</v>
      </c>
      <c r="BE102" s="93">
        <f>IF(AND('NFR repository'!$H102=Params!$I$3,IFERROR(FIND(BE$1,'NFR repository'!$U102)&gt;0,FALSE)),'NFR repository'!$I102,0)</f>
        <v>0</v>
      </c>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row>
    <row r="103" spans="1:84" ht="15.75" x14ac:dyDescent="0.25">
      <c r="A103" s="2"/>
      <c r="B103" s="52" t="s">
        <v>87</v>
      </c>
      <c r="C103" s="39" t="s">
        <v>13</v>
      </c>
      <c r="D103" s="88"/>
      <c r="E103" s="88"/>
      <c r="F103" s="41"/>
      <c r="G103" s="77"/>
      <c r="H103" s="41"/>
      <c r="I103" s="50"/>
      <c r="J103" s="218"/>
      <c r="K103" s="218"/>
      <c r="L103" s="205"/>
      <c r="M103" s="77"/>
      <c r="N103" s="77"/>
      <c r="O103" s="77"/>
      <c r="P103" s="77"/>
      <c r="Q103" s="77"/>
      <c r="R103" s="77"/>
      <c r="S103" s="41"/>
      <c r="T103" s="41"/>
      <c r="U103" s="41"/>
      <c r="V103" s="41"/>
      <c r="W103" s="4"/>
      <c r="X103" s="4"/>
      <c r="Y103" s="4"/>
      <c r="Z103" s="4"/>
      <c r="AA103" s="4"/>
      <c r="AB103" s="4"/>
      <c r="AC103" s="4"/>
      <c r="AD103" s="4"/>
      <c r="AE103" s="4"/>
      <c r="AF103" s="4"/>
      <c r="AG103" s="4"/>
      <c r="AH103" s="4"/>
      <c r="AI103" s="4"/>
      <c r="AJ103" s="4"/>
      <c r="AK103" s="4"/>
      <c r="AL103" s="4"/>
      <c r="AM103" s="4"/>
      <c r="AN103" s="4"/>
      <c r="AO103" s="4"/>
      <c r="AP103" s="4"/>
      <c r="AQ103" s="4"/>
      <c r="AR103" s="2"/>
      <c r="AS103" s="92" t="e">
        <f ca="1">IF(AND('NFR repository'!H103=Params!$I$3,INDIRECT("'NFR repository'!L" &amp; ROW('NFR repository'!A103) &amp; "C" &amp; TEXT(24 + $AS$2,"0"),FALSE)&lt;&gt;""),'NFR repository'!I103,0)</f>
        <v>#REF!</v>
      </c>
      <c r="AT103" s="168" t="e">
        <f ca="1">IF(AND('NFR repository'!H103=Params!$I$3,INDIRECT("'NFR repository'!L" &amp; ROW('NFR repository'!R103) &amp; "C" &amp; TEXT(28 + $AT$2,"0"),FALSE)&lt;&gt;""),'NFR repository'!I103,0)</f>
        <v>#REF!</v>
      </c>
      <c r="AU103" s="168" t="e">
        <f ca="1">IF(AND('NFR repository'!H103=Params!$I$3,INDIRECT("'NFR repository'!L" &amp; ROW('NFR repository'!R103) &amp; "C" &amp; TEXT(32 + $AU$2,"0"),FALSE)&lt;&gt;""),'NFR repository'!I103,0)</f>
        <v>#REF!</v>
      </c>
      <c r="AV103" s="233" t="e">
        <f ca="1">IF(AND('NFR repository'!H103=Params!$I$3,INDIRECT("'NFR repository'!L" &amp; ROW('NFR repository'!R103) &amp; "C" &amp; TEXT(36 + $AV$2,"0"),FALSE)&lt;&gt;""),'NFR repository'!I103,0)</f>
        <v>#REF!</v>
      </c>
      <c r="AW103" s="92">
        <f>IF(AND('NFR repository'!$H103=Params!$I$3,IFERROR(FIND(AW$1,'NFR repository'!$U103)&gt;0,FALSE)),'NFR repository'!$I103,0)</f>
        <v>0</v>
      </c>
      <c r="AX103" s="231">
        <f>IF(AND('NFR repository'!$H103=Params!$I$3,Synthesis!$I$8&lt;&gt;Params!$B$17,IFERROR(FIND(AX$1,'NFR repository'!$U103)&gt;0,FALSE)),'NFR repository'!$I103,0)</f>
        <v>0</v>
      </c>
      <c r="AY103" s="231">
        <f>IF(AND('NFR repository'!$H103=Params!$I$3,IFERROR(FIND(AY$1,'NFR repository'!$U103)&gt;0,FALSE)),'NFR repository'!$I103,0)</f>
        <v>0</v>
      </c>
      <c r="AZ103" s="231">
        <f>IF(AND('NFR repository'!$H103=Params!$I$3,IFERROR(FIND(AZ$1,'NFR repository'!$U103)&gt;0,FALSE)),'NFR repository'!$I103,0)</f>
        <v>0</v>
      </c>
      <c r="BA103" s="231">
        <f>IF(AND('NFR repository'!$H103=Params!$I$3,IFERROR(FIND(BA$1,'NFR repository'!$U103)&gt;0,FALSE)),'NFR repository'!$I103,0)</f>
        <v>0</v>
      </c>
      <c r="BB103" s="231">
        <f>IF(AND('NFR repository'!$H103=Params!$I$3,IFERROR(FIND(BB$1,'NFR repository'!$U103)&gt;0,FALSE)),'NFR repository'!$I103,0)</f>
        <v>0</v>
      </c>
      <c r="BC103" s="231">
        <f>IF(AND('NFR repository'!$H103=Params!$I$3,IFERROR(FIND(BC$1,'NFR repository'!$U103)&gt;0,FALSE)),'NFR repository'!$I103,0)</f>
        <v>0</v>
      </c>
      <c r="BD103" s="231">
        <f>IF(AND('NFR repository'!$H103=Params!$I$3,IFERROR(FIND(BD$1,'NFR repository'!$U103)&gt;0,FALSE)),'NFR repository'!$I103,0)</f>
        <v>0</v>
      </c>
      <c r="BE103" s="93">
        <f>IF(AND('NFR repository'!$H103=Params!$I$3,IFERROR(FIND(BE$1,'NFR repository'!$U103)&gt;0,FALSE)),'NFR repository'!$I103,0)</f>
        <v>0</v>
      </c>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row>
    <row r="104" spans="1:84" ht="60" x14ac:dyDescent="0.25">
      <c r="A104" s="2"/>
      <c r="B104" s="193" t="s">
        <v>234</v>
      </c>
      <c r="C104" s="204" t="s">
        <v>712</v>
      </c>
      <c r="D104" s="36" t="s">
        <v>137</v>
      </c>
      <c r="E104" s="36"/>
      <c r="F104" s="35" t="s">
        <v>582</v>
      </c>
      <c r="G104" s="78" t="s">
        <v>673</v>
      </c>
      <c r="H104" s="35" t="s">
        <v>472</v>
      </c>
      <c r="I104" s="72" t="s">
        <v>41</v>
      </c>
      <c r="J104" s="215"/>
      <c r="K104" s="215"/>
      <c r="L104" s="195"/>
      <c r="M104" s="51" t="s">
        <v>558</v>
      </c>
      <c r="N104" s="79" t="s">
        <v>664</v>
      </c>
      <c r="O104" s="51" t="s">
        <v>576</v>
      </c>
      <c r="P104" s="51" t="s">
        <v>576</v>
      </c>
      <c r="Q104" s="51" t="s">
        <v>46</v>
      </c>
      <c r="R104" s="51" t="s">
        <v>46</v>
      </c>
      <c r="S104" s="35" t="s">
        <v>46</v>
      </c>
      <c r="T104" s="35" t="s">
        <v>46</v>
      </c>
      <c r="U104" s="35" t="s">
        <v>633</v>
      </c>
      <c r="V104" s="35" t="s">
        <v>11</v>
      </c>
      <c r="W104" s="3"/>
      <c r="X104" s="3"/>
      <c r="Y104" s="3"/>
      <c r="Z104" s="3"/>
      <c r="AA104" s="3"/>
      <c r="AB104" s="3"/>
      <c r="AC104" s="3"/>
      <c r="AD104" s="3"/>
      <c r="AE104" s="3" t="s">
        <v>128</v>
      </c>
      <c r="AF104" s="3" t="s">
        <v>128</v>
      </c>
      <c r="AG104" s="3" t="s">
        <v>128</v>
      </c>
      <c r="AH104" s="3" t="s">
        <v>128</v>
      </c>
      <c r="AI104" s="3"/>
      <c r="AJ104" s="3"/>
      <c r="AK104" s="3"/>
      <c r="AL104" s="3"/>
      <c r="AM104" s="3"/>
      <c r="AN104" s="3"/>
      <c r="AO104" s="3"/>
      <c r="AP104" s="3"/>
      <c r="AQ104" s="3"/>
      <c r="AR104" s="2"/>
      <c r="AS104" s="92" t="e">
        <f ca="1">IF(AND('NFR repository'!H104=Params!$I$3,INDIRECT("'NFR repository'!L" &amp; ROW('NFR repository'!A104) &amp; "C" &amp; TEXT(24 + $AS$2,"0"),FALSE)&lt;&gt;""),'NFR repository'!I104,0)</f>
        <v>#REF!</v>
      </c>
      <c r="AT104" s="168" t="e">
        <f ca="1">IF(AND('NFR repository'!H104=Params!$I$3,INDIRECT("'NFR repository'!L" &amp; ROW('NFR repository'!R104) &amp; "C" &amp; TEXT(28 + $AT$2,"0"),FALSE)&lt;&gt;""),'NFR repository'!I104,0)</f>
        <v>#REF!</v>
      </c>
      <c r="AU104" s="168" t="e">
        <f ca="1">IF(AND('NFR repository'!H104=Params!$I$3,INDIRECT("'NFR repository'!L" &amp; ROW('NFR repository'!R104) &amp; "C" &amp; TEXT(32 + $AU$2,"0"),FALSE)&lt;&gt;""),'NFR repository'!I104,0)</f>
        <v>#REF!</v>
      </c>
      <c r="AV104" s="233" t="e">
        <f ca="1">IF(AND('NFR repository'!H104=Params!$I$3,INDIRECT("'NFR repository'!L" &amp; ROW('NFR repository'!R104) &amp; "C" &amp; TEXT(36 + $AV$2,"0"),FALSE)&lt;&gt;""),'NFR repository'!I104,0)</f>
        <v>#REF!</v>
      </c>
      <c r="AW104" s="92">
        <f>IF(AND('NFR repository'!$H104=Params!$I$3,IFERROR(FIND(AW$1,'NFR repository'!$U104)&gt;0,FALSE)),'NFR repository'!$I104,0)</f>
        <v>0</v>
      </c>
      <c r="AX104" s="231">
        <f>IF(AND('NFR repository'!$H104=Params!$I$3,Synthesis!$I$8&lt;&gt;Params!$B$17,IFERROR(FIND(AX$1,'NFR repository'!$U104)&gt;0,FALSE)),'NFR repository'!$I104,0)</f>
        <v>0</v>
      </c>
      <c r="AY104" s="231">
        <f>IF(AND('NFR repository'!$H104=Params!$I$3,IFERROR(FIND(AY$1,'NFR repository'!$U104)&gt;0,FALSE)),'NFR repository'!$I104,0)</f>
        <v>0</v>
      </c>
      <c r="AZ104" s="231">
        <f>IF(AND('NFR repository'!$H104=Params!$I$3,IFERROR(FIND(AZ$1,'NFR repository'!$U104)&gt;0,FALSE)),'NFR repository'!$I104,0)</f>
        <v>0</v>
      </c>
      <c r="BA104" s="231">
        <f>IF(AND('NFR repository'!$H104=Params!$I$3,IFERROR(FIND(BA$1,'NFR repository'!$U104)&gt;0,FALSE)),'NFR repository'!$I104,0)</f>
        <v>0</v>
      </c>
      <c r="BB104" s="231">
        <f>IF(AND('NFR repository'!$H104=Params!$I$3,IFERROR(FIND(BB$1,'NFR repository'!$U104)&gt;0,FALSE)),'NFR repository'!$I104,0)</f>
        <v>0</v>
      </c>
      <c r="BC104" s="231">
        <f>IF(AND('NFR repository'!$H104=Params!$I$3,IFERROR(FIND(BC$1,'NFR repository'!$U104)&gt;0,FALSE)),'NFR repository'!$I104,0)</f>
        <v>0</v>
      </c>
      <c r="BD104" s="231">
        <f>IF(AND('NFR repository'!$H104=Params!$I$3,IFERROR(FIND(BD$1,'NFR repository'!$U104)&gt;0,FALSE)),'NFR repository'!$I104,0)</f>
        <v>0</v>
      </c>
      <c r="BE104" s="93">
        <f>IF(AND('NFR repository'!$H104=Params!$I$3,IFERROR(FIND(BE$1,'NFR repository'!$U104)&gt;0,FALSE)),'NFR repository'!$I104,0)</f>
        <v>0</v>
      </c>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row>
    <row r="105" spans="1:84" ht="30" x14ac:dyDescent="0.25">
      <c r="A105" s="1"/>
      <c r="B105" s="193" t="s">
        <v>235</v>
      </c>
      <c r="C105" s="194" t="s">
        <v>391</v>
      </c>
      <c r="D105" s="36" t="s">
        <v>137</v>
      </c>
      <c r="E105" s="36"/>
      <c r="F105" s="35" t="s">
        <v>583</v>
      </c>
      <c r="G105" s="78" t="s">
        <v>673</v>
      </c>
      <c r="H105" s="35" t="s">
        <v>472</v>
      </c>
      <c r="I105" s="72" t="s">
        <v>41</v>
      </c>
      <c r="J105" s="215"/>
      <c r="K105" s="215"/>
      <c r="L105" s="195"/>
      <c r="M105" s="51" t="s">
        <v>558</v>
      </c>
      <c r="N105" s="79" t="s">
        <v>139</v>
      </c>
      <c r="O105" s="51" t="s">
        <v>576</v>
      </c>
      <c r="P105" s="51" t="s">
        <v>577</v>
      </c>
      <c r="Q105" s="51" t="s">
        <v>46</v>
      </c>
      <c r="R105" s="51" t="s">
        <v>46</v>
      </c>
      <c r="S105" s="35" t="s">
        <v>46</v>
      </c>
      <c r="T105" s="35" t="s">
        <v>46</v>
      </c>
      <c r="U105" s="35" t="s">
        <v>633</v>
      </c>
      <c r="V105" s="35" t="s">
        <v>11</v>
      </c>
      <c r="W105" s="3"/>
      <c r="X105" s="3"/>
      <c r="Y105" s="3"/>
      <c r="Z105" s="3"/>
      <c r="AA105" s="3"/>
      <c r="AB105" s="3"/>
      <c r="AC105" s="3"/>
      <c r="AD105" s="3"/>
      <c r="AE105" s="3"/>
      <c r="AF105" s="3"/>
      <c r="AG105" s="3"/>
      <c r="AH105" s="3" t="s">
        <v>128</v>
      </c>
      <c r="AI105" s="3"/>
      <c r="AJ105" s="3"/>
      <c r="AK105" s="3"/>
      <c r="AL105" s="3"/>
      <c r="AM105" s="3"/>
      <c r="AN105" s="3"/>
      <c r="AO105" s="3"/>
      <c r="AP105" s="3"/>
      <c r="AQ105" s="3"/>
      <c r="AR105" s="2"/>
      <c r="AS105" s="92" t="e">
        <f ca="1">IF(AND('NFR repository'!H105=Params!$I$3,INDIRECT("'NFR repository'!L" &amp; ROW('NFR repository'!A105) &amp; "C" &amp; TEXT(24 + $AS$2,"0"),FALSE)&lt;&gt;""),'NFR repository'!I105,0)</f>
        <v>#REF!</v>
      </c>
      <c r="AT105" s="168" t="e">
        <f ca="1">IF(AND('NFR repository'!H105=Params!$I$3,INDIRECT("'NFR repository'!L" &amp; ROW('NFR repository'!R105) &amp; "C" &amp; TEXT(28 + $AT$2,"0"),FALSE)&lt;&gt;""),'NFR repository'!I105,0)</f>
        <v>#REF!</v>
      </c>
      <c r="AU105" s="168" t="e">
        <f ca="1">IF(AND('NFR repository'!H105=Params!$I$3,INDIRECT("'NFR repository'!L" &amp; ROW('NFR repository'!R105) &amp; "C" &amp; TEXT(32 + $AU$2,"0"),FALSE)&lt;&gt;""),'NFR repository'!I105,0)</f>
        <v>#REF!</v>
      </c>
      <c r="AV105" s="233" t="e">
        <f ca="1">IF(AND('NFR repository'!H105=Params!$I$3,INDIRECT("'NFR repository'!L" &amp; ROW('NFR repository'!R105) &amp; "C" &amp; TEXT(36 + $AV$2,"0"),FALSE)&lt;&gt;""),'NFR repository'!I105,0)</f>
        <v>#REF!</v>
      </c>
      <c r="AW105" s="92">
        <f>IF(AND('NFR repository'!$H105=Params!$I$3,IFERROR(FIND(AW$1,'NFR repository'!$U105)&gt;0,FALSE)),'NFR repository'!$I105,0)</f>
        <v>0</v>
      </c>
      <c r="AX105" s="231">
        <f>IF(AND('NFR repository'!$H105=Params!$I$3,Synthesis!$I$8&lt;&gt;Params!$B$17,IFERROR(FIND(AX$1,'NFR repository'!$U105)&gt;0,FALSE)),'NFR repository'!$I105,0)</f>
        <v>0</v>
      </c>
      <c r="AY105" s="231">
        <f>IF(AND('NFR repository'!$H105=Params!$I$3,IFERROR(FIND(AY$1,'NFR repository'!$U105)&gt;0,FALSE)),'NFR repository'!$I105,0)</f>
        <v>0</v>
      </c>
      <c r="AZ105" s="231">
        <f>IF(AND('NFR repository'!$H105=Params!$I$3,IFERROR(FIND(AZ$1,'NFR repository'!$U105)&gt;0,FALSE)),'NFR repository'!$I105,0)</f>
        <v>0</v>
      </c>
      <c r="BA105" s="231">
        <f>IF(AND('NFR repository'!$H105=Params!$I$3,IFERROR(FIND(BA$1,'NFR repository'!$U105)&gt;0,FALSE)),'NFR repository'!$I105,0)</f>
        <v>0</v>
      </c>
      <c r="BB105" s="231">
        <f>IF(AND('NFR repository'!$H105=Params!$I$3,IFERROR(FIND(BB$1,'NFR repository'!$U105)&gt;0,FALSE)),'NFR repository'!$I105,0)</f>
        <v>0</v>
      </c>
      <c r="BC105" s="231">
        <f>IF(AND('NFR repository'!$H105=Params!$I$3,IFERROR(FIND(BC$1,'NFR repository'!$U105)&gt;0,FALSE)),'NFR repository'!$I105,0)</f>
        <v>0</v>
      </c>
      <c r="BD105" s="231">
        <f>IF(AND('NFR repository'!$H105=Params!$I$3,IFERROR(FIND(BD$1,'NFR repository'!$U105)&gt;0,FALSE)),'NFR repository'!$I105,0)</f>
        <v>0</v>
      </c>
      <c r="BE105" s="93">
        <f>IF(AND('NFR repository'!$H105=Params!$I$3,IFERROR(FIND(BE$1,'NFR repository'!$U105)&gt;0,FALSE)),'NFR repository'!$I105,0)</f>
        <v>0</v>
      </c>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row>
    <row r="106" spans="1:84" ht="60" x14ac:dyDescent="0.25">
      <c r="A106" s="1"/>
      <c r="B106" s="193" t="s">
        <v>236</v>
      </c>
      <c r="C106" s="194" t="s">
        <v>469</v>
      </c>
      <c r="D106" s="83" t="s">
        <v>767</v>
      </c>
      <c r="E106" s="36"/>
      <c r="F106" s="35" t="s">
        <v>583</v>
      </c>
      <c r="G106" s="78" t="s">
        <v>673</v>
      </c>
      <c r="H106" s="35" t="s">
        <v>472</v>
      </c>
      <c r="I106" s="72" t="s">
        <v>41</v>
      </c>
      <c r="J106" s="215"/>
      <c r="K106" s="215"/>
      <c r="L106" s="195"/>
      <c r="M106" s="51" t="s">
        <v>558</v>
      </c>
      <c r="N106" s="79" t="s">
        <v>139</v>
      </c>
      <c r="O106" s="51" t="s">
        <v>576</v>
      </c>
      <c r="P106" s="51" t="s">
        <v>576</v>
      </c>
      <c r="Q106" s="51" t="s">
        <v>46</v>
      </c>
      <c r="R106" s="51" t="s">
        <v>46</v>
      </c>
      <c r="S106" s="35" t="s">
        <v>46</v>
      </c>
      <c r="T106" s="35" t="s">
        <v>46</v>
      </c>
      <c r="U106" s="35" t="s">
        <v>11</v>
      </c>
      <c r="V106" s="35" t="s">
        <v>606</v>
      </c>
      <c r="W106" s="3"/>
      <c r="X106" s="3"/>
      <c r="Y106" s="3"/>
      <c r="Z106" s="3"/>
      <c r="AA106" s="3"/>
      <c r="AB106" s="3"/>
      <c r="AC106" s="3"/>
      <c r="AD106" s="3"/>
      <c r="AE106" s="3"/>
      <c r="AF106" s="3" t="s">
        <v>128</v>
      </c>
      <c r="AG106" s="3" t="s">
        <v>128</v>
      </c>
      <c r="AH106" s="3"/>
      <c r="AI106" s="3"/>
      <c r="AJ106" s="3"/>
      <c r="AK106" s="3"/>
      <c r="AL106" s="3"/>
      <c r="AM106" s="3"/>
      <c r="AN106" s="3"/>
      <c r="AO106" s="3"/>
      <c r="AP106" s="3"/>
      <c r="AQ106" s="3"/>
      <c r="AR106" s="2"/>
      <c r="AS106" s="92" t="e">
        <f ca="1">IF(AND('NFR repository'!H106=Params!$I$3,INDIRECT("'NFR repository'!L" &amp; ROW('NFR repository'!A106) &amp; "C" &amp; TEXT(24 + $AS$2,"0"),FALSE)&lt;&gt;""),'NFR repository'!I106,0)</f>
        <v>#REF!</v>
      </c>
      <c r="AT106" s="168" t="e">
        <f ca="1">IF(AND('NFR repository'!H106=Params!$I$3,INDIRECT("'NFR repository'!L" &amp; ROW('NFR repository'!R106) &amp; "C" &amp; TEXT(28 + $AT$2,"0"),FALSE)&lt;&gt;""),'NFR repository'!I106,0)</f>
        <v>#REF!</v>
      </c>
      <c r="AU106" s="168" t="e">
        <f ca="1">IF(AND('NFR repository'!H106=Params!$I$3,INDIRECT("'NFR repository'!L" &amp; ROW('NFR repository'!R106) &amp; "C" &amp; TEXT(32 + $AU$2,"0"),FALSE)&lt;&gt;""),'NFR repository'!I106,0)</f>
        <v>#REF!</v>
      </c>
      <c r="AV106" s="233" t="e">
        <f ca="1">IF(AND('NFR repository'!H106=Params!$I$3,INDIRECT("'NFR repository'!L" &amp; ROW('NFR repository'!R106) &amp; "C" &amp; TEXT(36 + $AV$2,"0"),FALSE)&lt;&gt;""),'NFR repository'!I106,0)</f>
        <v>#REF!</v>
      </c>
      <c r="AW106" s="92">
        <f>IF(AND('NFR repository'!$H106=Params!$I$3,IFERROR(FIND(AW$1,'NFR repository'!$U106)&gt;0,FALSE)),'NFR repository'!$I106,0)</f>
        <v>0</v>
      </c>
      <c r="AX106" s="231">
        <f>IF(AND('NFR repository'!$H106=Params!$I$3,Synthesis!$I$8&lt;&gt;Params!$B$17,IFERROR(FIND(AX$1,'NFR repository'!$U106)&gt;0,FALSE)),'NFR repository'!$I106,0)</f>
        <v>0</v>
      </c>
      <c r="AY106" s="231">
        <f>IF(AND('NFR repository'!$H106=Params!$I$3,IFERROR(FIND(AY$1,'NFR repository'!$U106)&gt;0,FALSE)),'NFR repository'!$I106,0)</f>
        <v>0</v>
      </c>
      <c r="AZ106" s="231">
        <f>IF(AND('NFR repository'!$H106=Params!$I$3,IFERROR(FIND(AZ$1,'NFR repository'!$U106)&gt;0,FALSE)),'NFR repository'!$I106,0)</f>
        <v>0</v>
      </c>
      <c r="BA106" s="231">
        <f>IF(AND('NFR repository'!$H106=Params!$I$3,IFERROR(FIND(BA$1,'NFR repository'!$U106)&gt;0,FALSE)),'NFR repository'!$I106,0)</f>
        <v>0</v>
      </c>
      <c r="BB106" s="231">
        <f>IF(AND('NFR repository'!$H106=Params!$I$3,IFERROR(FIND(BB$1,'NFR repository'!$U106)&gt;0,FALSE)),'NFR repository'!$I106,0)</f>
        <v>0</v>
      </c>
      <c r="BC106" s="231">
        <f>IF(AND('NFR repository'!$H106=Params!$I$3,IFERROR(FIND(BC$1,'NFR repository'!$U106)&gt;0,FALSE)),'NFR repository'!$I106,0)</f>
        <v>0</v>
      </c>
      <c r="BD106" s="231">
        <f>IF(AND('NFR repository'!$H106=Params!$I$3,IFERROR(FIND(BD$1,'NFR repository'!$U106)&gt;0,FALSE)),'NFR repository'!$I106,0)</f>
        <v>0</v>
      </c>
      <c r="BE106" s="93">
        <f>IF(AND('NFR repository'!$H106=Params!$I$3,IFERROR(FIND(BE$1,'NFR repository'!$U106)&gt;0,FALSE)),'NFR repository'!$I106,0)</f>
        <v>0</v>
      </c>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row>
    <row r="107" spans="1:84" ht="60" x14ac:dyDescent="0.25">
      <c r="A107" s="1"/>
      <c r="B107" s="193" t="s">
        <v>237</v>
      </c>
      <c r="C107" s="194" t="s">
        <v>392</v>
      </c>
      <c r="D107" s="36" t="s">
        <v>137</v>
      </c>
      <c r="E107" s="36"/>
      <c r="F107" s="35" t="s">
        <v>585</v>
      </c>
      <c r="G107" s="78" t="s">
        <v>670</v>
      </c>
      <c r="H107" s="35" t="s">
        <v>472</v>
      </c>
      <c r="I107" s="37" t="s">
        <v>41</v>
      </c>
      <c r="J107" s="215"/>
      <c r="K107" s="215"/>
      <c r="L107" s="195"/>
      <c r="M107" s="51" t="s">
        <v>558</v>
      </c>
      <c r="N107" s="79" t="s">
        <v>665</v>
      </c>
      <c r="O107" s="51" t="s">
        <v>576</v>
      </c>
      <c r="P107" s="51" t="s">
        <v>576</v>
      </c>
      <c r="Q107" s="51" t="s">
        <v>46</v>
      </c>
      <c r="R107" s="51" t="s">
        <v>46</v>
      </c>
      <c r="S107" s="35" t="s">
        <v>46</v>
      </c>
      <c r="T107" s="35" t="s">
        <v>46</v>
      </c>
      <c r="U107" s="35" t="s">
        <v>11</v>
      </c>
      <c r="V107" s="35" t="s">
        <v>11</v>
      </c>
      <c r="W107" s="3"/>
      <c r="X107" s="3"/>
      <c r="Y107" s="3"/>
      <c r="Z107" s="3"/>
      <c r="AA107" s="3"/>
      <c r="AB107" s="3"/>
      <c r="AC107" s="3"/>
      <c r="AD107" s="3"/>
      <c r="AE107" s="3"/>
      <c r="AF107" s="3"/>
      <c r="AG107" s="3"/>
      <c r="AH107" s="3" t="s">
        <v>128</v>
      </c>
      <c r="AI107" s="3"/>
      <c r="AJ107" s="3"/>
      <c r="AK107" s="3"/>
      <c r="AL107" s="3"/>
      <c r="AM107" s="3"/>
      <c r="AN107" s="3"/>
      <c r="AO107" s="3"/>
      <c r="AP107" s="3"/>
      <c r="AQ107" s="3"/>
      <c r="AR107" s="2"/>
      <c r="AS107" s="92" t="e">
        <f ca="1">IF(AND('NFR repository'!H107=Params!$I$3,INDIRECT("'NFR repository'!L" &amp; ROW('NFR repository'!A107) &amp; "C" &amp; TEXT(24 + $AS$2,"0"),FALSE)&lt;&gt;""),'NFR repository'!I107,0)</f>
        <v>#REF!</v>
      </c>
      <c r="AT107" s="168" t="e">
        <f ca="1">IF(AND('NFR repository'!H107=Params!$I$3,INDIRECT("'NFR repository'!L" &amp; ROW('NFR repository'!R107) &amp; "C" &amp; TEXT(28 + $AT$2,"0"),FALSE)&lt;&gt;""),'NFR repository'!I107,0)</f>
        <v>#REF!</v>
      </c>
      <c r="AU107" s="168" t="e">
        <f ca="1">IF(AND('NFR repository'!H107=Params!$I$3,INDIRECT("'NFR repository'!L" &amp; ROW('NFR repository'!R107) &amp; "C" &amp; TEXT(32 + $AU$2,"0"),FALSE)&lt;&gt;""),'NFR repository'!I107,0)</f>
        <v>#REF!</v>
      </c>
      <c r="AV107" s="233" t="e">
        <f ca="1">IF(AND('NFR repository'!H107=Params!$I$3,INDIRECT("'NFR repository'!L" &amp; ROW('NFR repository'!R107) &amp; "C" &amp; TEXT(36 + $AV$2,"0"),FALSE)&lt;&gt;""),'NFR repository'!I107,0)</f>
        <v>#REF!</v>
      </c>
      <c r="AW107" s="92">
        <f>IF(AND('NFR repository'!$H107=Params!$I$3,IFERROR(FIND(AW$1,'NFR repository'!$U107)&gt;0,FALSE)),'NFR repository'!$I107,0)</f>
        <v>0</v>
      </c>
      <c r="AX107" s="231">
        <f>IF(AND('NFR repository'!$H107=Params!$I$3,Synthesis!$I$8&lt;&gt;Params!$B$17,IFERROR(FIND(AX$1,'NFR repository'!$U107)&gt;0,FALSE)),'NFR repository'!$I107,0)</f>
        <v>0</v>
      </c>
      <c r="AY107" s="231">
        <f>IF(AND('NFR repository'!$H107=Params!$I$3,IFERROR(FIND(AY$1,'NFR repository'!$U107)&gt;0,FALSE)),'NFR repository'!$I107,0)</f>
        <v>0</v>
      </c>
      <c r="AZ107" s="231">
        <f>IF(AND('NFR repository'!$H107=Params!$I$3,IFERROR(FIND(AZ$1,'NFR repository'!$U107)&gt;0,FALSE)),'NFR repository'!$I107,0)</f>
        <v>0</v>
      </c>
      <c r="BA107" s="231">
        <f>IF(AND('NFR repository'!$H107=Params!$I$3,IFERROR(FIND(BA$1,'NFR repository'!$U107)&gt;0,FALSE)),'NFR repository'!$I107,0)</f>
        <v>0</v>
      </c>
      <c r="BB107" s="231">
        <f>IF(AND('NFR repository'!$H107=Params!$I$3,IFERROR(FIND(BB$1,'NFR repository'!$U107)&gt;0,FALSE)),'NFR repository'!$I107,0)</f>
        <v>0</v>
      </c>
      <c r="BC107" s="231">
        <f>IF(AND('NFR repository'!$H107=Params!$I$3,IFERROR(FIND(BC$1,'NFR repository'!$U107)&gt;0,FALSE)),'NFR repository'!$I107,0)</f>
        <v>0</v>
      </c>
      <c r="BD107" s="231">
        <f>IF(AND('NFR repository'!$H107=Params!$I$3,IFERROR(FIND(BD$1,'NFR repository'!$U107)&gt;0,FALSE)),'NFR repository'!$I107,0)</f>
        <v>0</v>
      </c>
      <c r="BE107" s="93">
        <f>IF(AND('NFR repository'!$H107=Params!$I$3,IFERROR(FIND(BE$1,'NFR repository'!$U107)&gt;0,FALSE)),'NFR repository'!$I107,0)</f>
        <v>0</v>
      </c>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row>
    <row r="108" spans="1:84" ht="30" x14ac:dyDescent="0.25">
      <c r="A108" s="1"/>
      <c r="B108" s="193" t="s">
        <v>238</v>
      </c>
      <c r="C108" s="194" t="s">
        <v>393</v>
      </c>
      <c r="D108" s="36" t="s">
        <v>137</v>
      </c>
      <c r="E108" s="36"/>
      <c r="F108" s="35" t="s">
        <v>583</v>
      </c>
      <c r="G108" s="78" t="s">
        <v>583</v>
      </c>
      <c r="H108" s="35" t="s">
        <v>472</v>
      </c>
      <c r="I108" s="72" t="s">
        <v>41</v>
      </c>
      <c r="J108" s="215"/>
      <c r="K108" s="215"/>
      <c r="L108" s="195"/>
      <c r="M108" s="79" t="s">
        <v>130</v>
      </c>
      <c r="N108" s="79" t="s">
        <v>139</v>
      </c>
      <c r="O108" s="51" t="s">
        <v>576</v>
      </c>
      <c r="P108" s="51" t="s">
        <v>576</v>
      </c>
      <c r="Q108" s="51" t="s">
        <v>46</v>
      </c>
      <c r="R108" s="51" t="s">
        <v>46</v>
      </c>
      <c r="S108" s="35" t="s">
        <v>46</v>
      </c>
      <c r="T108" s="35" t="s">
        <v>46</v>
      </c>
      <c r="U108" s="35" t="s">
        <v>11</v>
      </c>
      <c r="V108" s="38" t="s">
        <v>591</v>
      </c>
      <c r="W108" s="3"/>
      <c r="X108" s="3"/>
      <c r="Y108" s="3"/>
      <c r="Z108" s="3"/>
      <c r="AA108" s="3"/>
      <c r="AB108" s="11"/>
      <c r="AC108" s="11" t="s">
        <v>128</v>
      </c>
      <c r="AD108" s="11" t="s">
        <v>128</v>
      </c>
      <c r="AE108" s="11"/>
      <c r="AF108" s="11"/>
      <c r="AG108" s="11" t="s">
        <v>128</v>
      </c>
      <c r="AH108" s="11" t="s">
        <v>128</v>
      </c>
      <c r="AI108" s="11"/>
      <c r="AJ108" s="3"/>
      <c r="AK108" s="3"/>
      <c r="AL108" s="3"/>
      <c r="AM108" s="3"/>
      <c r="AN108" s="3"/>
      <c r="AO108" s="3"/>
      <c r="AP108" s="3"/>
      <c r="AQ108" s="3"/>
      <c r="AR108" s="2"/>
      <c r="AS108" s="92" t="e">
        <f ca="1">IF(AND('NFR repository'!H108=Params!$I$3,INDIRECT("'NFR repository'!L" &amp; ROW('NFR repository'!A108) &amp; "C" &amp; TEXT(24 + $AS$2,"0"),FALSE)&lt;&gt;""),'NFR repository'!I108,0)</f>
        <v>#REF!</v>
      </c>
      <c r="AT108" s="168" t="e">
        <f ca="1">IF(AND('NFR repository'!H108=Params!$I$3,INDIRECT("'NFR repository'!L" &amp; ROW('NFR repository'!R108) &amp; "C" &amp; TEXT(28 + $AT$2,"0"),FALSE)&lt;&gt;""),'NFR repository'!I108,0)</f>
        <v>#REF!</v>
      </c>
      <c r="AU108" s="168" t="e">
        <f ca="1">IF(AND('NFR repository'!H108=Params!$I$3,INDIRECT("'NFR repository'!L" &amp; ROW('NFR repository'!R108) &amp; "C" &amp; TEXT(32 + $AU$2,"0"),FALSE)&lt;&gt;""),'NFR repository'!I108,0)</f>
        <v>#REF!</v>
      </c>
      <c r="AV108" s="233" t="e">
        <f ca="1">IF(AND('NFR repository'!H108=Params!$I$3,INDIRECT("'NFR repository'!L" &amp; ROW('NFR repository'!R108) &amp; "C" &amp; TEXT(36 + $AV$2,"0"),FALSE)&lt;&gt;""),'NFR repository'!I108,0)</f>
        <v>#REF!</v>
      </c>
      <c r="AW108" s="92">
        <f>IF(AND('NFR repository'!$H108=Params!$I$3,IFERROR(FIND(AW$1,'NFR repository'!$U108)&gt;0,FALSE)),'NFR repository'!$I108,0)</f>
        <v>0</v>
      </c>
      <c r="AX108" s="231">
        <f>IF(AND('NFR repository'!$H108=Params!$I$3,Synthesis!$I$8&lt;&gt;Params!$B$17,IFERROR(FIND(AX$1,'NFR repository'!$U108)&gt;0,FALSE)),'NFR repository'!$I108,0)</f>
        <v>0</v>
      </c>
      <c r="AY108" s="231">
        <f>IF(AND('NFR repository'!$H108=Params!$I$3,IFERROR(FIND(AY$1,'NFR repository'!$U108)&gt;0,FALSE)),'NFR repository'!$I108,0)</f>
        <v>0</v>
      </c>
      <c r="AZ108" s="231">
        <f>IF(AND('NFR repository'!$H108=Params!$I$3,IFERROR(FIND(AZ$1,'NFR repository'!$U108)&gt;0,FALSE)),'NFR repository'!$I108,0)</f>
        <v>0</v>
      </c>
      <c r="BA108" s="231">
        <f>IF(AND('NFR repository'!$H108=Params!$I$3,IFERROR(FIND(BA$1,'NFR repository'!$U108)&gt;0,FALSE)),'NFR repository'!$I108,0)</f>
        <v>0</v>
      </c>
      <c r="BB108" s="231">
        <f>IF(AND('NFR repository'!$H108=Params!$I$3,IFERROR(FIND(BB$1,'NFR repository'!$U108)&gt;0,FALSE)),'NFR repository'!$I108,0)</f>
        <v>0</v>
      </c>
      <c r="BC108" s="231">
        <f>IF(AND('NFR repository'!$H108=Params!$I$3,IFERROR(FIND(BC$1,'NFR repository'!$U108)&gt;0,FALSE)),'NFR repository'!$I108,0)</f>
        <v>0</v>
      </c>
      <c r="BD108" s="231">
        <f>IF(AND('NFR repository'!$H108=Params!$I$3,IFERROR(FIND(BD$1,'NFR repository'!$U108)&gt;0,FALSE)),'NFR repository'!$I108,0)</f>
        <v>0</v>
      </c>
      <c r="BE108" s="93">
        <f>IF(AND('NFR repository'!$H108=Params!$I$3,IFERROR(FIND(BE$1,'NFR repository'!$U108)&gt;0,FALSE)),'NFR repository'!$I108,0)</f>
        <v>0</v>
      </c>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row>
    <row r="109" spans="1:84" ht="45" x14ac:dyDescent="0.25">
      <c r="A109" s="1"/>
      <c r="B109" s="193" t="s">
        <v>239</v>
      </c>
      <c r="C109" s="194" t="s">
        <v>394</v>
      </c>
      <c r="D109" s="36" t="s">
        <v>137</v>
      </c>
      <c r="E109" s="36"/>
      <c r="F109" s="35" t="s">
        <v>585</v>
      </c>
      <c r="G109" s="78" t="s">
        <v>670</v>
      </c>
      <c r="H109" s="35" t="s">
        <v>472</v>
      </c>
      <c r="I109" s="37" t="s">
        <v>41</v>
      </c>
      <c r="J109" s="215"/>
      <c r="K109" s="215"/>
      <c r="L109" s="195"/>
      <c r="M109" s="51" t="s">
        <v>558</v>
      </c>
      <c r="N109" s="79" t="s">
        <v>650</v>
      </c>
      <c r="O109" s="51" t="s">
        <v>576</v>
      </c>
      <c r="P109" s="51" t="s">
        <v>578</v>
      </c>
      <c r="Q109" s="51" t="s">
        <v>46</v>
      </c>
      <c r="R109" s="51" t="s">
        <v>46</v>
      </c>
      <c r="S109" s="35" t="s">
        <v>46</v>
      </c>
      <c r="T109" s="35" t="s">
        <v>46</v>
      </c>
      <c r="U109" s="35" t="s">
        <v>11</v>
      </c>
      <c r="V109" s="35" t="s">
        <v>144</v>
      </c>
      <c r="W109" s="3"/>
      <c r="X109" s="3"/>
      <c r="Y109" s="3"/>
      <c r="Z109" s="3"/>
      <c r="AA109" s="3"/>
      <c r="AB109" s="3"/>
      <c r="AC109" s="3"/>
      <c r="AD109" s="3"/>
      <c r="AE109" s="3"/>
      <c r="AF109" s="3"/>
      <c r="AG109" s="3"/>
      <c r="AH109" s="3" t="s">
        <v>128</v>
      </c>
      <c r="AI109" s="3"/>
      <c r="AJ109" s="3"/>
      <c r="AK109" s="3"/>
      <c r="AL109" s="3"/>
      <c r="AM109" s="3"/>
      <c r="AN109" s="3"/>
      <c r="AO109" s="3"/>
      <c r="AP109" s="3"/>
      <c r="AQ109" s="3"/>
      <c r="AR109" s="2"/>
      <c r="AS109" s="92" t="e">
        <f ca="1">IF(AND('NFR repository'!H109=Params!$I$3,INDIRECT("'NFR repository'!L" &amp; ROW('NFR repository'!A109) &amp; "C" &amp; TEXT(24 + $AS$2,"0"),FALSE)&lt;&gt;""),'NFR repository'!I109,0)</f>
        <v>#REF!</v>
      </c>
      <c r="AT109" s="168" t="e">
        <f ca="1">IF(AND('NFR repository'!H109=Params!$I$3,INDIRECT("'NFR repository'!L" &amp; ROW('NFR repository'!R109) &amp; "C" &amp; TEXT(28 + $AT$2,"0"),FALSE)&lt;&gt;""),'NFR repository'!I109,0)</f>
        <v>#REF!</v>
      </c>
      <c r="AU109" s="168" t="e">
        <f ca="1">IF(AND('NFR repository'!H109=Params!$I$3,INDIRECT("'NFR repository'!L" &amp; ROW('NFR repository'!R109) &amp; "C" &amp; TEXT(32 + $AU$2,"0"),FALSE)&lt;&gt;""),'NFR repository'!I109,0)</f>
        <v>#REF!</v>
      </c>
      <c r="AV109" s="233" t="e">
        <f ca="1">IF(AND('NFR repository'!H109=Params!$I$3,INDIRECT("'NFR repository'!L" &amp; ROW('NFR repository'!R109) &amp; "C" &amp; TEXT(36 + $AV$2,"0"),FALSE)&lt;&gt;""),'NFR repository'!I109,0)</f>
        <v>#REF!</v>
      </c>
      <c r="AW109" s="92">
        <f>IF(AND('NFR repository'!$H109=Params!$I$3,IFERROR(FIND(AW$1,'NFR repository'!$U109)&gt;0,FALSE)),'NFR repository'!$I109,0)</f>
        <v>0</v>
      </c>
      <c r="AX109" s="231">
        <f>IF(AND('NFR repository'!$H109=Params!$I$3,Synthesis!$I$8&lt;&gt;Params!$B$17,IFERROR(FIND(AX$1,'NFR repository'!$U109)&gt;0,FALSE)),'NFR repository'!$I109,0)</f>
        <v>0</v>
      </c>
      <c r="AY109" s="231">
        <f>IF(AND('NFR repository'!$H109=Params!$I$3,IFERROR(FIND(AY$1,'NFR repository'!$U109)&gt;0,FALSE)),'NFR repository'!$I109,0)</f>
        <v>0</v>
      </c>
      <c r="AZ109" s="231">
        <f>IF(AND('NFR repository'!$H109=Params!$I$3,IFERROR(FIND(AZ$1,'NFR repository'!$U109)&gt;0,FALSE)),'NFR repository'!$I109,0)</f>
        <v>0</v>
      </c>
      <c r="BA109" s="231">
        <f>IF(AND('NFR repository'!$H109=Params!$I$3,IFERROR(FIND(BA$1,'NFR repository'!$U109)&gt;0,FALSE)),'NFR repository'!$I109,0)</f>
        <v>0</v>
      </c>
      <c r="BB109" s="231">
        <f>IF(AND('NFR repository'!$H109=Params!$I$3,IFERROR(FIND(BB$1,'NFR repository'!$U109)&gt;0,FALSE)),'NFR repository'!$I109,0)</f>
        <v>0</v>
      </c>
      <c r="BC109" s="231">
        <f>IF(AND('NFR repository'!$H109=Params!$I$3,IFERROR(FIND(BC$1,'NFR repository'!$U109)&gt;0,FALSE)),'NFR repository'!$I109,0)</f>
        <v>0</v>
      </c>
      <c r="BD109" s="231">
        <f>IF(AND('NFR repository'!$H109=Params!$I$3,IFERROR(FIND(BD$1,'NFR repository'!$U109)&gt;0,FALSE)),'NFR repository'!$I109,0)</f>
        <v>0</v>
      </c>
      <c r="BE109" s="93">
        <f>IF(AND('NFR repository'!$H109=Params!$I$3,IFERROR(FIND(BE$1,'NFR repository'!$U109)&gt;0,FALSE)),'NFR repository'!$I109,0)</f>
        <v>0</v>
      </c>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row>
    <row r="110" spans="1:84" ht="60" x14ac:dyDescent="0.25">
      <c r="A110" s="1"/>
      <c r="B110" s="193" t="s">
        <v>240</v>
      </c>
      <c r="C110" s="204" t="s">
        <v>395</v>
      </c>
      <c r="D110" s="83" t="s">
        <v>766</v>
      </c>
      <c r="E110" s="87" t="s">
        <v>499</v>
      </c>
      <c r="F110" s="35" t="s">
        <v>584</v>
      </c>
      <c r="G110" s="78" t="s">
        <v>670</v>
      </c>
      <c r="H110" s="35" t="s">
        <v>472</v>
      </c>
      <c r="I110" s="72" t="s">
        <v>41</v>
      </c>
      <c r="J110" s="215"/>
      <c r="K110" s="215"/>
      <c r="L110" s="195"/>
      <c r="M110" s="79" t="s">
        <v>130</v>
      </c>
      <c r="N110" s="79" t="s">
        <v>139</v>
      </c>
      <c r="O110" s="51" t="s">
        <v>576</v>
      </c>
      <c r="P110" s="51" t="s">
        <v>577</v>
      </c>
      <c r="Q110" s="51" t="s">
        <v>46</v>
      </c>
      <c r="R110" s="51" t="s">
        <v>46</v>
      </c>
      <c r="S110" s="35" t="s">
        <v>46</v>
      </c>
      <c r="T110" s="35" t="s">
        <v>46</v>
      </c>
      <c r="U110" s="35" t="s">
        <v>633</v>
      </c>
      <c r="V110" s="35" t="s">
        <v>11</v>
      </c>
      <c r="W110" s="3"/>
      <c r="X110" s="3"/>
      <c r="Y110" s="3"/>
      <c r="Z110" s="3"/>
      <c r="AA110" s="3"/>
      <c r="AB110" s="3"/>
      <c r="AC110" s="3"/>
      <c r="AD110" s="3"/>
      <c r="AE110" s="3"/>
      <c r="AF110" s="3"/>
      <c r="AG110" s="3"/>
      <c r="AH110" s="3" t="s">
        <v>128</v>
      </c>
      <c r="AI110" s="3"/>
      <c r="AJ110" s="3"/>
      <c r="AK110" s="3"/>
      <c r="AL110" s="3"/>
      <c r="AM110" s="3"/>
      <c r="AN110" s="3"/>
      <c r="AO110" s="3"/>
      <c r="AP110" s="3"/>
      <c r="AQ110" s="3"/>
      <c r="AR110" s="2"/>
      <c r="AS110" s="92" t="e">
        <f ca="1">IF(AND('NFR repository'!H110=Params!$I$3,INDIRECT("'NFR repository'!L" &amp; ROW('NFR repository'!A110) &amp; "C" &amp; TEXT(24 + $AS$2,"0"),FALSE)&lt;&gt;""),'NFR repository'!I110,0)</f>
        <v>#REF!</v>
      </c>
      <c r="AT110" s="168" t="e">
        <f ca="1">IF(AND('NFR repository'!H110=Params!$I$3,INDIRECT("'NFR repository'!L" &amp; ROW('NFR repository'!R110) &amp; "C" &amp; TEXT(28 + $AT$2,"0"),FALSE)&lt;&gt;""),'NFR repository'!I110,0)</f>
        <v>#REF!</v>
      </c>
      <c r="AU110" s="168" t="e">
        <f ca="1">IF(AND('NFR repository'!H110=Params!$I$3,INDIRECT("'NFR repository'!L" &amp; ROW('NFR repository'!R110) &amp; "C" &amp; TEXT(32 + $AU$2,"0"),FALSE)&lt;&gt;""),'NFR repository'!I110,0)</f>
        <v>#REF!</v>
      </c>
      <c r="AV110" s="233" t="e">
        <f ca="1">IF(AND('NFR repository'!H110=Params!$I$3,INDIRECT("'NFR repository'!L" &amp; ROW('NFR repository'!R110) &amp; "C" &amp; TEXT(36 + $AV$2,"0"),FALSE)&lt;&gt;""),'NFR repository'!I110,0)</f>
        <v>#REF!</v>
      </c>
      <c r="AW110" s="92">
        <f>IF(AND('NFR repository'!$H110=Params!$I$3,IFERROR(FIND(AW$1,'NFR repository'!$U110)&gt;0,FALSE)),'NFR repository'!$I110,0)</f>
        <v>0</v>
      </c>
      <c r="AX110" s="231">
        <f>IF(AND('NFR repository'!$H110=Params!$I$3,Synthesis!$I$8&lt;&gt;Params!$B$17,IFERROR(FIND(AX$1,'NFR repository'!$U110)&gt;0,FALSE)),'NFR repository'!$I110,0)</f>
        <v>0</v>
      </c>
      <c r="AY110" s="231">
        <f>IF(AND('NFR repository'!$H110=Params!$I$3,IFERROR(FIND(AY$1,'NFR repository'!$U110)&gt;0,FALSE)),'NFR repository'!$I110,0)</f>
        <v>0</v>
      </c>
      <c r="AZ110" s="231">
        <f>IF(AND('NFR repository'!$H110=Params!$I$3,IFERROR(FIND(AZ$1,'NFR repository'!$U110)&gt;0,FALSE)),'NFR repository'!$I110,0)</f>
        <v>0</v>
      </c>
      <c r="BA110" s="231">
        <f>IF(AND('NFR repository'!$H110=Params!$I$3,IFERROR(FIND(BA$1,'NFR repository'!$U110)&gt;0,FALSE)),'NFR repository'!$I110,0)</f>
        <v>0</v>
      </c>
      <c r="BB110" s="231">
        <f>IF(AND('NFR repository'!$H110=Params!$I$3,IFERROR(FIND(BB$1,'NFR repository'!$U110)&gt;0,FALSE)),'NFR repository'!$I110,0)</f>
        <v>0</v>
      </c>
      <c r="BC110" s="231">
        <f>IF(AND('NFR repository'!$H110=Params!$I$3,IFERROR(FIND(BC$1,'NFR repository'!$U110)&gt;0,FALSE)),'NFR repository'!$I110,0)</f>
        <v>0</v>
      </c>
      <c r="BD110" s="231">
        <f>IF(AND('NFR repository'!$H110=Params!$I$3,IFERROR(FIND(BD$1,'NFR repository'!$U110)&gt;0,FALSE)),'NFR repository'!$I110,0)</f>
        <v>0</v>
      </c>
      <c r="BE110" s="93">
        <f>IF(AND('NFR repository'!$H110=Params!$I$3,IFERROR(FIND(BE$1,'NFR repository'!$U110)&gt;0,FALSE)),'NFR repository'!$I110,0)</f>
        <v>0</v>
      </c>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row>
    <row r="111" spans="1:84" ht="45" x14ac:dyDescent="0.25">
      <c r="A111" s="1"/>
      <c r="B111" s="193" t="s">
        <v>241</v>
      </c>
      <c r="C111" s="194" t="s">
        <v>396</v>
      </c>
      <c r="D111" s="36" t="s">
        <v>137</v>
      </c>
      <c r="E111" s="36"/>
      <c r="F111" s="35" t="s">
        <v>284</v>
      </c>
      <c r="G111" s="78" t="s">
        <v>674</v>
      </c>
      <c r="H111" s="35" t="s">
        <v>472</v>
      </c>
      <c r="I111" s="37" t="s">
        <v>41</v>
      </c>
      <c r="J111" s="215"/>
      <c r="K111" s="215"/>
      <c r="L111" s="195"/>
      <c r="M111" s="51" t="s">
        <v>558</v>
      </c>
      <c r="N111" s="51" t="s">
        <v>168</v>
      </c>
      <c r="O111" s="51" t="s">
        <v>576</v>
      </c>
      <c r="P111" s="51" t="s">
        <v>578</v>
      </c>
      <c r="Q111" s="51" t="s">
        <v>46</v>
      </c>
      <c r="R111" s="51" t="s">
        <v>46</v>
      </c>
      <c r="S111" s="35" t="s">
        <v>46</v>
      </c>
      <c r="T111" s="35" t="s">
        <v>46</v>
      </c>
      <c r="U111" s="35" t="s">
        <v>11</v>
      </c>
      <c r="V111" s="35" t="s">
        <v>11</v>
      </c>
      <c r="W111" s="3"/>
      <c r="X111" s="3"/>
      <c r="Y111" s="3"/>
      <c r="Z111" s="3"/>
      <c r="AA111" s="3"/>
      <c r="AB111" s="3"/>
      <c r="AC111" s="3"/>
      <c r="AD111" s="3"/>
      <c r="AE111" s="3"/>
      <c r="AF111" s="3"/>
      <c r="AG111" s="3"/>
      <c r="AH111" s="3" t="s">
        <v>128</v>
      </c>
      <c r="AI111" s="3"/>
      <c r="AJ111" s="3"/>
      <c r="AK111" s="3"/>
      <c r="AL111" s="3"/>
      <c r="AM111" s="3"/>
      <c r="AN111" s="3"/>
      <c r="AO111" s="3"/>
      <c r="AP111" s="3"/>
      <c r="AQ111" s="3"/>
      <c r="AR111" s="2"/>
      <c r="AS111" s="92" t="e">
        <f ca="1">IF(AND('NFR repository'!H111=Params!$I$3,INDIRECT("'NFR repository'!L" &amp; ROW('NFR repository'!A111) &amp; "C" &amp; TEXT(24 + $AS$2,"0"),FALSE)&lt;&gt;""),'NFR repository'!I111,0)</f>
        <v>#REF!</v>
      </c>
      <c r="AT111" s="168" t="e">
        <f ca="1">IF(AND('NFR repository'!H111=Params!$I$3,INDIRECT("'NFR repository'!L" &amp; ROW('NFR repository'!R111) &amp; "C" &amp; TEXT(28 + $AT$2,"0"),FALSE)&lt;&gt;""),'NFR repository'!I111,0)</f>
        <v>#REF!</v>
      </c>
      <c r="AU111" s="168" t="e">
        <f ca="1">IF(AND('NFR repository'!H111=Params!$I$3,INDIRECT("'NFR repository'!L" &amp; ROW('NFR repository'!R111) &amp; "C" &amp; TEXT(32 + $AU$2,"0"),FALSE)&lt;&gt;""),'NFR repository'!I111,0)</f>
        <v>#REF!</v>
      </c>
      <c r="AV111" s="233" t="e">
        <f ca="1">IF(AND('NFR repository'!H111=Params!$I$3,INDIRECT("'NFR repository'!L" &amp; ROW('NFR repository'!R111) &amp; "C" &amp; TEXT(36 + $AV$2,"0"),FALSE)&lt;&gt;""),'NFR repository'!I111,0)</f>
        <v>#REF!</v>
      </c>
      <c r="AW111" s="92">
        <f>IF(AND('NFR repository'!$H111=Params!$I$3,IFERROR(FIND(AW$1,'NFR repository'!$U111)&gt;0,FALSE)),'NFR repository'!$I111,0)</f>
        <v>0</v>
      </c>
      <c r="AX111" s="231">
        <f>IF(AND('NFR repository'!$H111=Params!$I$3,Synthesis!$I$8&lt;&gt;Params!$B$17,IFERROR(FIND(AX$1,'NFR repository'!$U111)&gt;0,FALSE)),'NFR repository'!$I111,0)</f>
        <v>0</v>
      </c>
      <c r="AY111" s="231">
        <f>IF(AND('NFR repository'!$H111=Params!$I$3,IFERROR(FIND(AY$1,'NFR repository'!$U111)&gt;0,FALSE)),'NFR repository'!$I111,0)</f>
        <v>0</v>
      </c>
      <c r="AZ111" s="231">
        <f>IF(AND('NFR repository'!$H111=Params!$I$3,IFERROR(FIND(AZ$1,'NFR repository'!$U111)&gt;0,FALSE)),'NFR repository'!$I111,0)</f>
        <v>0</v>
      </c>
      <c r="BA111" s="231">
        <f>IF(AND('NFR repository'!$H111=Params!$I$3,IFERROR(FIND(BA$1,'NFR repository'!$U111)&gt;0,FALSE)),'NFR repository'!$I111,0)</f>
        <v>0</v>
      </c>
      <c r="BB111" s="231">
        <f>IF(AND('NFR repository'!$H111=Params!$I$3,IFERROR(FIND(BB$1,'NFR repository'!$U111)&gt;0,FALSE)),'NFR repository'!$I111,0)</f>
        <v>0</v>
      </c>
      <c r="BC111" s="231">
        <f>IF(AND('NFR repository'!$H111=Params!$I$3,IFERROR(FIND(BC$1,'NFR repository'!$U111)&gt;0,FALSE)),'NFR repository'!$I111,0)</f>
        <v>0</v>
      </c>
      <c r="BD111" s="231">
        <f>IF(AND('NFR repository'!$H111=Params!$I$3,IFERROR(FIND(BD$1,'NFR repository'!$U111)&gt;0,FALSE)),'NFR repository'!$I111,0)</f>
        <v>0</v>
      </c>
      <c r="BE111" s="93">
        <f>IF(AND('NFR repository'!$H111=Params!$I$3,IFERROR(FIND(BE$1,'NFR repository'!$U111)&gt;0,FALSE)),'NFR repository'!$I111,0)</f>
        <v>0</v>
      </c>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row>
    <row r="112" spans="1:84" ht="60" x14ac:dyDescent="0.25">
      <c r="A112" s="1"/>
      <c r="B112" s="193" t="s">
        <v>242</v>
      </c>
      <c r="C112" s="196" t="s">
        <v>397</v>
      </c>
      <c r="D112" s="36" t="s">
        <v>137</v>
      </c>
      <c r="E112" s="36"/>
      <c r="F112" s="35" t="s">
        <v>166</v>
      </c>
      <c r="G112" s="51" t="s">
        <v>742</v>
      </c>
      <c r="H112" s="35" t="s">
        <v>472</v>
      </c>
      <c r="I112" s="72" t="s">
        <v>41</v>
      </c>
      <c r="J112" s="215"/>
      <c r="K112" s="215"/>
      <c r="L112" s="195"/>
      <c r="M112" s="51" t="s">
        <v>558</v>
      </c>
      <c r="N112" s="51" t="s">
        <v>295</v>
      </c>
      <c r="O112" s="51" t="s">
        <v>574</v>
      </c>
      <c r="P112" s="51" t="s">
        <v>577</v>
      </c>
      <c r="Q112" s="51" t="s">
        <v>46</v>
      </c>
      <c r="R112" s="51" t="s">
        <v>46</v>
      </c>
      <c r="S112" s="35" t="s">
        <v>46</v>
      </c>
      <c r="T112" s="35" t="s">
        <v>46</v>
      </c>
      <c r="U112" s="35" t="s">
        <v>714</v>
      </c>
      <c r="V112" s="35" t="s">
        <v>11</v>
      </c>
      <c r="W112" s="3"/>
      <c r="X112" s="3"/>
      <c r="Y112" s="3" t="s">
        <v>128</v>
      </c>
      <c r="Z112" s="3" t="s">
        <v>128</v>
      </c>
      <c r="AA112" s="3"/>
      <c r="AB112" s="3"/>
      <c r="AC112" s="3" t="s">
        <v>128</v>
      </c>
      <c r="AD112" s="3" t="s">
        <v>128</v>
      </c>
      <c r="AE112" s="3"/>
      <c r="AF112" s="3" t="s">
        <v>128</v>
      </c>
      <c r="AG112" s="3" t="s">
        <v>128</v>
      </c>
      <c r="AH112" s="3" t="s">
        <v>128</v>
      </c>
      <c r="AI112" s="11"/>
      <c r="AJ112" s="11"/>
      <c r="AK112" s="11" t="s">
        <v>128</v>
      </c>
      <c r="AL112" s="11" t="s">
        <v>128</v>
      </c>
      <c r="AM112" s="3"/>
      <c r="AN112" s="3"/>
      <c r="AO112" s="3" t="s">
        <v>128</v>
      </c>
      <c r="AP112" s="3"/>
      <c r="AQ112" s="3"/>
      <c r="AR112" s="2"/>
      <c r="AS112" s="92" t="e">
        <f ca="1">IF(AND('NFR repository'!H112=Params!$I$3,INDIRECT("'NFR repository'!L" &amp; ROW('NFR repository'!A112) &amp; "C" &amp; TEXT(24 + $AS$2,"0"),FALSE)&lt;&gt;""),'NFR repository'!I112,0)</f>
        <v>#REF!</v>
      </c>
      <c r="AT112" s="168" t="e">
        <f ca="1">IF(AND('NFR repository'!H112=Params!$I$3,INDIRECT("'NFR repository'!L" &amp; ROW('NFR repository'!R112) &amp; "C" &amp; TEXT(28 + $AT$2,"0"),FALSE)&lt;&gt;""),'NFR repository'!I112,0)</f>
        <v>#REF!</v>
      </c>
      <c r="AU112" s="168" t="e">
        <f ca="1">IF(AND('NFR repository'!H112=Params!$I$3,INDIRECT("'NFR repository'!L" &amp; ROW('NFR repository'!R112) &amp; "C" &amp; TEXT(32 + $AU$2,"0"),FALSE)&lt;&gt;""),'NFR repository'!I112,0)</f>
        <v>#REF!</v>
      </c>
      <c r="AV112" s="233" t="e">
        <f ca="1">IF(AND('NFR repository'!H112=Params!$I$3,INDIRECT("'NFR repository'!L" &amp; ROW('NFR repository'!R112) &amp; "C" &amp; TEXT(36 + $AV$2,"0"),FALSE)&lt;&gt;""),'NFR repository'!I112,0)</f>
        <v>#REF!</v>
      </c>
      <c r="AW112" s="92">
        <f>IF(AND('NFR repository'!$H112=Params!$I$3,IFERROR(FIND(AW$1,'NFR repository'!$U112)&gt;0,FALSE)),'NFR repository'!$I112,0)</f>
        <v>0</v>
      </c>
      <c r="AX112" s="231">
        <f>IF(AND('NFR repository'!$H112=Params!$I$3,Synthesis!$I$8&lt;&gt;Params!$B$17,IFERROR(FIND(AX$1,'NFR repository'!$U112)&gt;0,FALSE)),'NFR repository'!$I112,0)</f>
        <v>0</v>
      </c>
      <c r="AY112" s="231">
        <f>IF(AND('NFR repository'!$H112=Params!$I$3,IFERROR(FIND(AY$1,'NFR repository'!$U112)&gt;0,FALSE)),'NFR repository'!$I112,0)</f>
        <v>0</v>
      </c>
      <c r="AZ112" s="231">
        <f>IF(AND('NFR repository'!$H112=Params!$I$3,IFERROR(FIND(AZ$1,'NFR repository'!$U112)&gt;0,FALSE)),'NFR repository'!$I112,0)</f>
        <v>0</v>
      </c>
      <c r="BA112" s="231">
        <f>IF(AND('NFR repository'!$H112=Params!$I$3,IFERROR(FIND(BA$1,'NFR repository'!$U112)&gt;0,FALSE)),'NFR repository'!$I112,0)</f>
        <v>0</v>
      </c>
      <c r="BB112" s="231">
        <f>IF(AND('NFR repository'!$H112=Params!$I$3,IFERROR(FIND(BB$1,'NFR repository'!$U112)&gt;0,FALSE)),'NFR repository'!$I112,0)</f>
        <v>0</v>
      </c>
      <c r="BC112" s="231">
        <f>IF(AND('NFR repository'!$H112=Params!$I$3,IFERROR(FIND(BC$1,'NFR repository'!$U112)&gt;0,FALSE)),'NFR repository'!$I112,0)</f>
        <v>0</v>
      </c>
      <c r="BD112" s="231">
        <f>IF(AND('NFR repository'!$H112=Params!$I$3,IFERROR(FIND(BD$1,'NFR repository'!$U112)&gt;0,FALSE)),'NFR repository'!$I112,0)</f>
        <v>0</v>
      </c>
      <c r="BE112" s="93">
        <f>IF(AND('NFR repository'!$H112=Params!$I$3,IFERROR(FIND(BE$1,'NFR repository'!$U112)&gt;0,FALSE)),'NFR repository'!$I112,0)</f>
        <v>0</v>
      </c>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row>
    <row r="113" spans="1:84" ht="60" x14ac:dyDescent="0.25">
      <c r="A113" s="1"/>
      <c r="B113" s="193" t="s">
        <v>243</v>
      </c>
      <c r="C113" s="196" t="s">
        <v>520</v>
      </c>
      <c r="D113" s="83" t="s">
        <v>765</v>
      </c>
      <c r="E113" s="83" t="s">
        <v>532</v>
      </c>
      <c r="F113" s="35" t="s">
        <v>285</v>
      </c>
      <c r="G113" s="51" t="s">
        <v>675</v>
      </c>
      <c r="H113" s="35" t="s">
        <v>472</v>
      </c>
      <c r="I113" s="72" t="s">
        <v>41</v>
      </c>
      <c r="J113" s="215"/>
      <c r="K113" s="215"/>
      <c r="L113" s="195"/>
      <c r="M113" s="51" t="s">
        <v>558</v>
      </c>
      <c r="N113" s="51" t="s">
        <v>171</v>
      </c>
      <c r="O113" s="51" t="s">
        <v>575</v>
      </c>
      <c r="P113" s="51" t="s">
        <v>576</v>
      </c>
      <c r="Q113" s="51" t="s">
        <v>46</v>
      </c>
      <c r="R113" s="51" t="s">
        <v>46</v>
      </c>
      <c r="S113" s="35" t="s">
        <v>46</v>
      </c>
      <c r="T113" s="35" t="s">
        <v>46</v>
      </c>
      <c r="U113" s="35" t="s">
        <v>633</v>
      </c>
      <c r="V113" s="35" t="s">
        <v>531</v>
      </c>
      <c r="W113" s="3"/>
      <c r="X113" s="3"/>
      <c r="Y113" s="3"/>
      <c r="Z113" s="3"/>
      <c r="AA113" s="3"/>
      <c r="AB113" s="3"/>
      <c r="AC113" s="3"/>
      <c r="AD113" s="3"/>
      <c r="AE113" s="3"/>
      <c r="AF113" s="3"/>
      <c r="AG113" s="3" t="s">
        <v>128</v>
      </c>
      <c r="AH113" s="3" t="s">
        <v>128</v>
      </c>
      <c r="AI113" s="3"/>
      <c r="AJ113" s="3"/>
      <c r="AK113" s="3"/>
      <c r="AL113" s="3"/>
      <c r="AM113" s="3"/>
      <c r="AN113" s="3"/>
      <c r="AO113" s="3"/>
      <c r="AP113" s="3"/>
      <c r="AQ113" s="3"/>
      <c r="AR113" s="2"/>
      <c r="AS113" s="92" t="e">
        <f ca="1">IF(AND('NFR repository'!H113=Params!$I$3,INDIRECT("'NFR repository'!L" &amp; ROW('NFR repository'!A113) &amp; "C" &amp; TEXT(24 + $AS$2,"0"),FALSE)&lt;&gt;""),'NFR repository'!I113,0)</f>
        <v>#REF!</v>
      </c>
      <c r="AT113" s="168" t="e">
        <f ca="1">IF(AND('NFR repository'!H113=Params!$I$3,INDIRECT("'NFR repository'!L" &amp; ROW('NFR repository'!R113) &amp; "C" &amp; TEXT(28 + $AT$2,"0"),FALSE)&lt;&gt;""),'NFR repository'!I113,0)</f>
        <v>#REF!</v>
      </c>
      <c r="AU113" s="168" t="e">
        <f ca="1">IF(AND('NFR repository'!H113=Params!$I$3,INDIRECT("'NFR repository'!L" &amp; ROW('NFR repository'!R113) &amp; "C" &amp; TEXT(32 + $AU$2,"0"),FALSE)&lt;&gt;""),'NFR repository'!I113,0)</f>
        <v>#REF!</v>
      </c>
      <c r="AV113" s="233" t="e">
        <f ca="1">IF(AND('NFR repository'!H113=Params!$I$3,INDIRECT("'NFR repository'!L" &amp; ROW('NFR repository'!R113) &amp; "C" &amp; TEXT(36 + $AV$2,"0"),FALSE)&lt;&gt;""),'NFR repository'!I113,0)</f>
        <v>#REF!</v>
      </c>
      <c r="AW113" s="92">
        <f>IF(AND('NFR repository'!$H113=Params!$I$3,IFERROR(FIND(AW$1,'NFR repository'!$U113)&gt;0,FALSE)),'NFR repository'!$I113,0)</f>
        <v>0</v>
      </c>
      <c r="AX113" s="231">
        <f>IF(AND('NFR repository'!$H113=Params!$I$3,Synthesis!$I$8&lt;&gt;Params!$B$17,IFERROR(FIND(AX$1,'NFR repository'!$U113)&gt;0,FALSE)),'NFR repository'!$I113,0)</f>
        <v>0</v>
      </c>
      <c r="AY113" s="231">
        <f>IF(AND('NFR repository'!$H113=Params!$I$3,IFERROR(FIND(AY$1,'NFR repository'!$U113)&gt;0,FALSE)),'NFR repository'!$I113,0)</f>
        <v>0</v>
      </c>
      <c r="AZ113" s="231">
        <f>IF(AND('NFR repository'!$H113=Params!$I$3,IFERROR(FIND(AZ$1,'NFR repository'!$U113)&gt;0,FALSE)),'NFR repository'!$I113,0)</f>
        <v>0</v>
      </c>
      <c r="BA113" s="231">
        <f>IF(AND('NFR repository'!$H113=Params!$I$3,IFERROR(FIND(BA$1,'NFR repository'!$U113)&gt;0,FALSE)),'NFR repository'!$I113,0)</f>
        <v>0</v>
      </c>
      <c r="BB113" s="231">
        <f>IF(AND('NFR repository'!$H113=Params!$I$3,IFERROR(FIND(BB$1,'NFR repository'!$U113)&gt;0,FALSE)),'NFR repository'!$I113,0)</f>
        <v>0</v>
      </c>
      <c r="BC113" s="231">
        <f>IF(AND('NFR repository'!$H113=Params!$I$3,IFERROR(FIND(BC$1,'NFR repository'!$U113)&gt;0,FALSE)),'NFR repository'!$I113,0)</f>
        <v>0</v>
      </c>
      <c r="BD113" s="231">
        <f>IF(AND('NFR repository'!$H113=Params!$I$3,IFERROR(FIND(BD$1,'NFR repository'!$U113)&gt;0,FALSE)),'NFR repository'!$I113,0)</f>
        <v>0</v>
      </c>
      <c r="BE113" s="93">
        <f>IF(AND('NFR repository'!$H113=Params!$I$3,IFERROR(FIND(BE$1,'NFR repository'!$U113)&gt;0,FALSE)),'NFR repository'!$I113,0)</f>
        <v>0</v>
      </c>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row>
    <row r="114" spans="1:84" ht="45" x14ac:dyDescent="0.25">
      <c r="A114" s="1"/>
      <c r="B114" s="193" t="s">
        <v>244</v>
      </c>
      <c r="C114" s="196" t="s">
        <v>398</v>
      </c>
      <c r="D114" s="36" t="s">
        <v>137</v>
      </c>
      <c r="E114" s="36"/>
      <c r="F114" s="35" t="s">
        <v>286</v>
      </c>
      <c r="G114" s="51" t="s">
        <v>647</v>
      </c>
      <c r="H114" s="35" t="s">
        <v>472</v>
      </c>
      <c r="I114" s="72" t="s">
        <v>41</v>
      </c>
      <c r="J114" s="215"/>
      <c r="K114" s="215"/>
      <c r="L114" s="195"/>
      <c r="M114" s="51" t="s">
        <v>558</v>
      </c>
      <c r="N114" s="51" t="s">
        <v>562</v>
      </c>
      <c r="O114" s="51" t="s">
        <v>573</v>
      </c>
      <c r="P114" s="51" t="s">
        <v>573</v>
      </c>
      <c r="Q114" s="51" t="s">
        <v>46</v>
      </c>
      <c r="R114" s="51" t="s">
        <v>46</v>
      </c>
      <c r="S114" s="35" t="s">
        <v>46</v>
      </c>
      <c r="T114" s="35" t="s">
        <v>46</v>
      </c>
      <c r="U114" s="35" t="s">
        <v>11</v>
      </c>
      <c r="V114" s="35" t="s">
        <v>11</v>
      </c>
      <c r="W114" s="3"/>
      <c r="X114" s="3"/>
      <c r="Y114" s="3"/>
      <c r="Z114" s="3"/>
      <c r="AA114" s="3"/>
      <c r="AB114" s="3"/>
      <c r="AC114" s="3"/>
      <c r="AD114" s="3"/>
      <c r="AE114" s="3"/>
      <c r="AF114" s="3"/>
      <c r="AG114" s="3" t="s">
        <v>128</v>
      </c>
      <c r="AH114" s="3" t="s">
        <v>128</v>
      </c>
      <c r="AI114" s="3"/>
      <c r="AJ114" s="3"/>
      <c r="AK114" s="3"/>
      <c r="AL114" s="3"/>
      <c r="AM114" s="3"/>
      <c r="AN114" s="3"/>
      <c r="AO114" s="3"/>
      <c r="AP114" s="3"/>
      <c r="AQ114" s="3"/>
      <c r="AR114" s="2"/>
      <c r="AS114" s="92" t="e">
        <f ca="1">IF(AND('NFR repository'!H114=Params!$I$3,INDIRECT("'NFR repository'!L" &amp; ROW('NFR repository'!A114) &amp; "C" &amp; TEXT(24 + $AS$2,"0"),FALSE)&lt;&gt;""),'NFR repository'!I114,0)</f>
        <v>#REF!</v>
      </c>
      <c r="AT114" s="168" t="e">
        <f ca="1">IF(AND('NFR repository'!H114=Params!$I$3,INDIRECT("'NFR repository'!L" &amp; ROW('NFR repository'!R114) &amp; "C" &amp; TEXT(28 + $AT$2,"0"),FALSE)&lt;&gt;""),'NFR repository'!I114,0)</f>
        <v>#REF!</v>
      </c>
      <c r="AU114" s="168" t="e">
        <f ca="1">IF(AND('NFR repository'!H114=Params!$I$3,INDIRECT("'NFR repository'!L" &amp; ROW('NFR repository'!R114) &amp; "C" &amp; TEXT(32 + $AU$2,"0"),FALSE)&lt;&gt;""),'NFR repository'!I114,0)</f>
        <v>#REF!</v>
      </c>
      <c r="AV114" s="233" t="e">
        <f ca="1">IF(AND('NFR repository'!H114=Params!$I$3,INDIRECT("'NFR repository'!L" &amp; ROW('NFR repository'!R114) &amp; "C" &amp; TEXT(36 + $AV$2,"0"),FALSE)&lt;&gt;""),'NFR repository'!I114,0)</f>
        <v>#REF!</v>
      </c>
      <c r="AW114" s="92">
        <f>IF(AND('NFR repository'!$H114=Params!$I$3,IFERROR(FIND(AW$1,'NFR repository'!$U114)&gt;0,FALSE)),'NFR repository'!$I114,0)</f>
        <v>0</v>
      </c>
      <c r="AX114" s="231">
        <f>IF(AND('NFR repository'!$H114=Params!$I$3,Synthesis!$I$8&lt;&gt;Params!$B$17,IFERROR(FIND(AX$1,'NFR repository'!$U114)&gt;0,FALSE)),'NFR repository'!$I114,0)</f>
        <v>0</v>
      </c>
      <c r="AY114" s="231">
        <f>IF(AND('NFR repository'!$H114=Params!$I$3,IFERROR(FIND(AY$1,'NFR repository'!$U114)&gt;0,FALSE)),'NFR repository'!$I114,0)</f>
        <v>0</v>
      </c>
      <c r="AZ114" s="231">
        <f>IF(AND('NFR repository'!$H114=Params!$I$3,IFERROR(FIND(AZ$1,'NFR repository'!$U114)&gt;0,FALSE)),'NFR repository'!$I114,0)</f>
        <v>0</v>
      </c>
      <c r="BA114" s="231">
        <f>IF(AND('NFR repository'!$H114=Params!$I$3,IFERROR(FIND(BA$1,'NFR repository'!$U114)&gt;0,FALSE)),'NFR repository'!$I114,0)</f>
        <v>0</v>
      </c>
      <c r="BB114" s="231">
        <f>IF(AND('NFR repository'!$H114=Params!$I$3,IFERROR(FIND(BB$1,'NFR repository'!$U114)&gt;0,FALSE)),'NFR repository'!$I114,0)</f>
        <v>0</v>
      </c>
      <c r="BC114" s="231">
        <f>IF(AND('NFR repository'!$H114=Params!$I$3,IFERROR(FIND(BC$1,'NFR repository'!$U114)&gt;0,FALSE)),'NFR repository'!$I114,0)</f>
        <v>0</v>
      </c>
      <c r="BD114" s="231">
        <f>IF(AND('NFR repository'!$H114=Params!$I$3,IFERROR(FIND(BD$1,'NFR repository'!$U114)&gt;0,FALSE)),'NFR repository'!$I114,0)</f>
        <v>0</v>
      </c>
      <c r="BE114" s="93">
        <f>IF(AND('NFR repository'!$H114=Params!$I$3,IFERROR(FIND(BE$1,'NFR repository'!$U114)&gt;0,FALSE)),'NFR repository'!$I114,0)</f>
        <v>0</v>
      </c>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row>
    <row r="115" spans="1:84" ht="60" x14ac:dyDescent="0.25">
      <c r="A115" s="1"/>
      <c r="B115" s="193" t="s">
        <v>455</v>
      </c>
      <c r="C115" s="196" t="s">
        <v>399</v>
      </c>
      <c r="D115" s="83" t="s">
        <v>814</v>
      </c>
      <c r="E115" s="36"/>
      <c r="F115" s="35" t="s">
        <v>287</v>
      </c>
      <c r="G115" s="78" t="s">
        <v>292</v>
      </c>
      <c r="H115" s="35" t="s">
        <v>472</v>
      </c>
      <c r="I115" s="72" t="s">
        <v>41</v>
      </c>
      <c r="J115" s="215"/>
      <c r="K115" s="215"/>
      <c r="L115" s="195"/>
      <c r="M115" s="51" t="s">
        <v>558</v>
      </c>
      <c r="N115" s="51" t="s">
        <v>168</v>
      </c>
      <c r="O115" s="51" t="s">
        <v>578</v>
      </c>
      <c r="P115" s="51" t="s">
        <v>578</v>
      </c>
      <c r="Q115" s="51" t="s">
        <v>168</v>
      </c>
      <c r="R115" s="51" t="s">
        <v>168</v>
      </c>
      <c r="S115" s="35" t="s">
        <v>293</v>
      </c>
      <c r="T115" s="35" t="s">
        <v>46</v>
      </c>
      <c r="U115" s="35" t="s">
        <v>11</v>
      </c>
      <c r="V115" s="35" t="s">
        <v>11</v>
      </c>
      <c r="W115" s="3"/>
      <c r="X115" s="3"/>
      <c r="Y115" s="3"/>
      <c r="Z115" s="3"/>
      <c r="AA115" s="3"/>
      <c r="AB115" s="3"/>
      <c r="AC115" s="3"/>
      <c r="AD115" s="3"/>
      <c r="AE115" s="3" t="s">
        <v>128</v>
      </c>
      <c r="AF115" s="3" t="s">
        <v>128</v>
      </c>
      <c r="AG115" s="3" t="s">
        <v>128</v>
      </c>
      <c r="AH115" s="3"/>
      <c r="AI115" s="3"/>
      <c r="AJ115" s="3"/>
      <c r="AK115" s="3"/>
      <c r="AL115" s="3"/>
      <c r="AM115" s="3"/>
      <c r="AN115" s="3"/>
      <c r="AO115" s="3"/>
      <c r="AP115" s="3"/>
      <c r="AQ115" s="3"/>
      <c r="AR115" s="2"/>
      <c r="AS115" s="92" t="e">
        <f ca="1">IF(AND('NFR repository'!H115=Params!$I$3,INDIRECT("'NFR repository'!L" &amp; ROW('NFR repository'!A115) &amp; "C" &amp; TEXT(24 + $AS$2,"0"),FALSE)&lt;&gt;""),'NFR repository'!I115,0)</f>
        <v>#REF!</v>
      </c>
      <c r="AT115" s="168" t="e">
        <f ca="1">IF(AND('NFR repository'!H115=Params!$I$3,INDIRECT("'NFR repository'!L" &amp; ROW('NFR repository'!R115) &amp; "C" &amp; TEXT(28 + $AT$2,"0"),FALSE)&lt;&gt;""),'NFR repository'!I115,0)</f>
        <v>#REF!</v>
      </c>
      <c r="AU115" s="168" t="e">
        <f ca="1">IF(AND('NFR repository'!H115=Params!$I$3,INDIRECT("'NFR repository'!L" &amp; ROW('NFR repository'!R115) &amp; "C" &amp; TEXT(32 + $AU$2,"0"),FALSE)&lt;&gt;""),'NFR repository'!I115,0)</f>
        <v>#REF!</v>
      </c>
      <c r="AV115" s="233" t="e">
        <f ca="1">IF(AND('NFR repository'!H115=Params!$I$3,INDIRECT("'NFR repository'!L" &amp; ROW('NFR repository'!R115) &amp; "C" &amp; TEXT(36 + $AV$2,"0"),FALSE)&lt;&gt;""),'NFR repository'!I115,0)</f>
        <v>#REF!</v>
      </c>
      <c r="AW115" s="92">
        <f>IF(AND('NFR repository'!$H115=Params!$I$3,IFERROR(FIND(AW$1,'NFR repository'!$U115)&gt;0,FALSE)),'NFR repository'!$I115,0)</f>
        <v>0</v>
      </c>
      <c r="AX115" s="231">
        <f>IF(AND('NFR repository'!$H115=Params!$I$3,Synthesis!$I$8&lt;&gt;Params!$B$17,IFERROR(FIND(AX$1,'NFR repository'!$U115)&gt;0,FALSE)),'NFR repository'!$I115,0)</f>
        <v>0</v>
      </c>
      <c r="AY115" s="231">
        <f>IF(AND('NFR repository'!$H115=Params!$I$3,IFERROR(FIND(AY$1,'NFR repository'!$U115)&gt;0,FALSE)),'NFR repository'!$I115,0)</f>
        <v>0</v>
      </c>
      <c r="AZ115" s="231">
        <f>IF(AND('NFR repository'!$H115=Params!$I$3,IFERROR(FIND(AZ$1,'NFR repository'!$U115)&gt;0,FALSE)),'NFR repository'!$I115,0)</f>
        <v>0</v>
      </c>
      <c r="BA115" s="231">
        <f>IF(AND('NFR repository'!$H115=Params!$I$3,IFERROR(FIND(BA$1,'NFR repository'!$U115)&gt;0,FALSE)),'NFR repository'!$I115,0)</f>
        <v>0</v>
      </c>
      <c r="BB115" s="231">
        <f>IF(AND('NFR repository'!$H115=Params!$I$3,IFERROR(FIND(BB$1,'NFR repository'!$U115)&gt;0,FALSE)),'NFR repository'!$I115,0)</f>
        <v>0</v>
      </c>
      <c r="BC115" s="231">
        <f>IF(AND('NFR repository'!$H115=Params!$I$3,IFERROR(FIND(BC$1,'NFR repository'!$U115)&gt;0,FALSE)),'NFR repository'!$I115,0)</f>
        <v>0</v>
      </c>
      <c r="BD115" s="231">
        <f>IF(AND('NFR repository'!$H115=Params!$I$3,IFERROR(FIND(BD$1,'NFR repository'!$U115)&gt;0,FALSE)),'NFR repository'!$I115,0)</f>
        <v>0</v>
      </c>
      <c r="BE115" s="93">
        <f>IF(AND('NFR repository'!$H115=Params!$I$3,IFERROR(FIND(BE$1,'NFR repository'!$U115)&gt;0,FALSE)),'NFR repository'!$I115,0)</f>
        <v>0</v>
      </c>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row>
    <row r="116" spans="1:84" ht="90" x14ac:dyDescent="0.25">
      <c r="A116" s="1"/>
      <c r="B116" s="193" t="s">
        <v>456</v>
      </c>
      <c r="C116" s="196" t="s">
        <v>400</v>
      </c>
      <c r="D116" s="83" t="s">
        <v>814</v>
      </c>
      <c r="E116" s="36"/>
      <c r="F116" s="35" t="s">
        <v>287</v>
      </c>
      <c r="G116" s="78" t="s">
        <v>291</v>
      </c>
      <c r="H116" s="35" t="s">
        <v>472</v>
      </c>
      <c r="I116" s="37" t="s">
        <v>41</v>
      </c>
      <c r="J116" s="215"/>
      <c r="K116" s="215"/>
      <c r="L116" s="195"/>
      <c r="M116" s="51" t="s">
        <v>558</v>
      </c>
      <c r="N116" s="51" t="s">
        <v>168</v>
      </c>
      <c r="O116" s="51" t="s">
        <v>578</v>
      </c>
      <c r="P116" s="51" t="s">
        <v>578</v>
      </c>
      <c r="Q116" s="51" t="s">
        <v>156</v>
      </c>
      <c r="R116" s="51" t="s">
        <v>168</v>
      </c>
      <c r="S116" s="35" t="s">
        <v>293</v>
      </c>
      <c r="T116" s="35" t="s">
        <v>46</v>
      </c>
      <c r="U116" s="35" t="s">
        <v>11</v>
      </c>
      <c r="V116" s="35" t="s">
        <v>11</v>
      </c>
      <c r="W116" s="3"/>
      <c r="X116" s="3"/>
      <c r="Y116" s="3"/>
      <c r="Z116" s="3"/>
      <c r="AA116" s="3"/>
      <c r="AB116" s="3"/>
      <c r="AC116" s="3"/>
      <c r="AD116" s="3"/>
      <c r="AE116" s="3"/>
      <c r="AF116" s="3"/>
      <c r="AG116" s="3"/>
      <c r="AH116" s="3" t="s">
        <v>128</v>
      </c>
      <c r="AI116" s="3"/>
      <c r="AJ116" s="3"/>
      <c r="AK116" s="3"/>
      <c r="AL116" s="3"/>
      <c r="AM116" s="3"/>
      <c r="AN116" s="3"/>
      <c r="AO116" s="3"/>
      <c r="AP116" s="3"/>
      <c r="AQ116" s="3"/>
      <c r="AR116" s="2"/>
      <c r="AS116" s="92" t="e">
        <f ca="1">IF(AND('NFR repository'!H116=Params!$I$3,INDIRECT("'NFR repository'!L" &amp; ROW('NFR repository'!A116) &amp; "C" &amp; TEXT(24 + $AS$2,"0"),FALSE)&lt;&gt;""),'NFR repository'!I116,0)</f>
        <v>#REF!</v>
      </c>
      <c r="AT116" s="168" t="e">
        <f ca="1">IF(AND('NFR repository'!H116=Params!$I$3,INDIRECT("'NFR repository'!L" &amp; ROW('NFR repository'!R116) &amp; "C" &amp; TEXT(28 + $AT$2,"0"),FALSE)&lt;&gt;""),'NFR repository'!I116,0)</f>
        <v>#REF!</v>
      </c>
      <c r="AU116" s="168" t="e">
        <f ca="1">IF(AND('NFR repository'!H116=Params!$I$3,INDIRECT("'NFR repository'!L" &amp; ROW('NFR repository'!R116) &amp; "C" &amp; TEXT(32 + $AU$2,"0"),FALSE)&lt;&gt;""),'NFR repository'!I116,0)</f>
        <v>#REF!</v>
      </c>
      <c r="AV116" s="233" t="e">
        <f ca="1">IF(AND('NFR repository'!H116=Params!$I$3,INDIRECT("'NFR repository'!L" &amp; ROW('NFR repository'!R116) &amp; "C" &amp; TEXT(36 + $AV$2,"0"),FALSE)&lt;&gt;""),'NFR repository'!I116,0)</f>
        <v>#REF!</v>
      </c>
      <c r="AW116" s="92">
        <f>IF(AND('NFR repository'!$H116=Params!$I$3,IFERROR(FIND(AW$1,'NFR repository'!$U116)&gt;0,FALSE)),'NFR repository'!$I116,0)</f>
        <v>0</v>
      </c>
      <c r="AX116" s="231">
        <f>IF(AND('NFR repository'!$H116=Params!$I$3,Synthesis!$I$8&lt;&gt;Params!$B$17,IFERROR(FIND(AX$1,'NFR repository'!$U116)&gt;0,FALSE)),'NFR repository'!$I116,0)</f>
        <v>0</v>
      </c>
      <c r="AY116" s="231">
        <f>IF(AND('NFR repository'!$H116=Params!$I$3,IFERROR(FIND(AY$1,'NFR repository'!$U116)&gt;0,FALSE)),'NFR repository'!$I116,0)</f>
        <v>0</v>
      </c>
      <c r="AZ116" s="231">
        <f>IF(AND('NFR repository'!$H116=Params!$I$3,IFERROR(FIND(AZ$1,'NFR repository'!$U116)&gt;0,FALSE)),'NFR repository'!$I116,0)</f>
        <v>0</v>
      </c>
      <c r="BA116" s="231">
        <f>IF(AND('NFR repository'!$H116=Params!$I$3,IFERROR(FIND(BA$1,'NFR repository'!$U116)&gt;0,FALSE)),'NFR repository'!$I116,0)</f>
        <v>0</v>
      </c>
      <c r="BB116" s="231">
        <f>IF(AND('NFR repository'!$H116=Params!$I$3,IFERROR(FIND(BB$1,'NFR repository'!$U116)&gt;0,FALSE)),'NFR repository'!$I116,0)</f>
        <v>0</v>
      </c>
      <c r="BC116" s="231">
        <f>IF(AND('NFR repository'!$H116=Params!$I$3,IFERROR(FIND(BC$1,'NFR repository'!$U116)&gt;0,FALSE)),'NFR repository'!$I116,0)</f>
        <v>0</v>
      </c>
      <c r="BD116" s="231">
        <f>IF(AND('NFR repository'!$H116=Params!$I$3,IFERROR(FIND(BD$1,'NFR repository'!$U116)&gt;0,FALSE)),'NFR repository'!$I116,0)</f>
        <v>0</v>
      </c>
      <c r="BE116" s="93">
        <f>IF(AND('NFR repository'!$H116=Params!$I$3,IFERROR(FIND(BE$1,'NFR repository'!$U116)&gt;0,FALSE)),'NFR repository'!$I116,0)</f>
        <v>0</v>
      </c>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row>
    <row r="117" spans="1:84" ht="45" x14ac:dyDescent="0.25">
      <c r="A117" s="1"/>
      <c r="B117" s="193" t="s">
        <v>245</v>
      </c>
      <c r="C117" s="196" t="s">
        <v>401</v>
      </c>
      <c r="D117" s="36" t="s">
        <v>137</v>
      </c>
      <c r="E117" s="36"/>
      <c r="F117" s="35" t="s">
        <v>584</v>
      </c>
      <c r="G117" s="51" t="s">
        <v>741</v>
      </c>
      <c r="H117" s="35" t="s">
        <v>472</v>
      </c>
      <c r="I117" s="72" t="s">
        <v>41</v>
      </c>
      <c r="J117" s="215"/>
      <c r="K117" s="215"/>
      <c r="L117" s="195"/>
      <c r="M117" s="51" t="s">
        <v>558</v>
      </c>
      <c r="N117" s="79" t="s">
        <v>288</v>
      </c>
      <c r="O117" s="51" t="s">
        <v>575</v>
      </c>
      <c r="P117" s="51" t="s">
        <v>576</v>
      </c>
      <c r="Q117" s="51" t="s">
        <v>46</v>
      </c>
      <c r="R117" s="51" t="s">
        <v>46</v>
      </c>
      <c r="S117" s="35" t="s">
        <v>46</v>
      </c>
      <c r="T117" s="35" t="s">
        <v>46</v>
      </c>
      <c r="U117" s="35" t="s">
        <v>633</v>
      </c>
      <c r="V117" s="35" t="s">
        <v>11</v>
      </c>
      <c r="W117" s="3"/>
      <c r="X117" s="3"/>
      <c r="Y117" s="3"/>
      <c r="Z117" s="3"/>
      <c r="AA117" s="3"/>
      <c r="AB117" s="3"/>
      <c r="AC117" s="3"/>
      <c r="AD117" s="3"/>
      <c r="AE117" s="3"/>
      <c r="AF117" s="3"/>
      <c r="AG117" s="3" t="s">
        <v>128</v>
      </c>
      <c r="AH117" s="3" t="s">
        <v>128</v>
      </c>
      <c r="AI117" s="3"/>
      <c r="AJ117" s="3"/>
      <c r="AK117" s="3"/>
      <c r="AL117" s="3"/>
      <c r="AM117" s="3"/>
      <c r="AN117" s="3"/>
      <c r="AO117" s="3"/>
      <c r="AP117" s="3"/>
      <c r="AQ117" s="3"/>
      <c r="AR117" s="2"/>
      <c r="AS117" s="92" t="e">
        <f ca="1">IF(AND('NFR repository'!H117=Params!$I$3,INDIRECT("'NFR repository'!L" &amp; ROW('NFR repository'!A117) &amp; "C" &amp; TEXT(24 + $AS$2,"0"),FALSE)&lt;&gt;""),'NFR repository'!I117,0)</f>
        <v>#REF!</v>
      </c>
      <c r="AT117" s="168" t="e">
        <f ca="1">IF(AND('NFR repository'!H117=Params!$I$3,INDIRECT("'NFR repository'!L" &amp; ROW('NFR repository'!R117) &amp; "C" &amp; TEXT(28 + $AT$2,"0"),FALSE)&lt;&gt;""),'NFR repository'!I117,0)</f>
        <v>#REF!</v>
      </c>
      <c r="AU117" s="168" t="e">
        <f ca="1">IF(AND('NFR repository'!H117=Params!$I$3,INDIRECT("'NFR repository'!L" &amp; ROW('NFR repository'!R117) &amp; "C" &amp; TEXT(32 + $AU$2,"0"),FALSE)&lt;&gt;""),'NFR repository'!I117,0)</f>
        <v>#REF!</v>
      </c>
      <c r="AV117" s="233" t="e">
        <f ca="1">IF(AND('NFR repository'!H117=Params!$I$3,INDIRECT("'NFR repository'!L" &amp; ROW('NFR repository'!R117) &amp; "C" &amp; TEXT(36 + $AV$2,"0"),FALSE)&lt;&gt;""),'NFR repository'!I117,0)</f>
        <v>#REF!</v>
      </c>
      <c r="AW117" s="92">
        <f>IF(AND('NFR repository'!$H117=Params!$I$3,IFERROR(FIND(AW$1,'NFR repository'!$U117)&gt;0,FALSE)),'NFR repository'!$I117,0)</f>
        <v>0</v>
      </c>
      <c r="AX117" s="231">
        <f>IF(AND('NFR repository'!$H117=Params!$I$3,Synthesis!$I$8&lt;&gt;Params!$B$17,IFERROR(FIND(AX$1,'NFR repository'!$U117)&gt;0,FALSE)),'NFR repository'!$I117,0)</f>
        <v>0</v>
      </c>
      <c r="AY117" s="231">
        <f>IF(AND('NFR repository'!$H117=Params!$I$3,IFERROR(FIND(AY$1,'NFR repository'!$U117)&gt;0,FALSE)),'NFR repository'!$I117,0)</f>
        <v>0</v>
      </c>
      <c r="AZ117" s="231">
        <f>IF(AND('NFR repository'!$H117=Params!$I$3,IFERROR(FIND(AZ$1,'NFR repository'!$U117)&gt;0,FALSE)),'NFR repository'!$I117,0)</f>
        <v>0</v>
      </c>
      <c r="BA117" s="231">
        <f>IF(AND('NFR repository'!$H117=Params!$I$3,IFERROR(FIND(BA$1,'NFR repository'!$U117)&gt;0,FALSE)),'NFR repository'!$I117,0)</f>
        <v>0</v>
      </c>
      <c r="BB117" s="231">
        <f>IF(AND('NFR repository'!$H117=Params!$I$3,IFERROR(FIND(BB$1,'NFR repository'!$U117)&gt;0,FALSE)),'NFR repository'!$I117,0)</f>
        <v>0</v>
      </c>
      <c r="BC117" s="231">
        <f>IF(AND('NFR repository'!$H117=Params!$I$3,IFERROR(FIND(BC$1,'NFR repository'!$U117)&gt;0,FALSE)),'NFR repository'!$I117,0)</f>
        <v>0</v>
      </c>
      <c r="BD117" s="231">
        <f>IF(AND('NFR repository'!$H117=Params!$I$3,IFERROR(FIND(BD$1,'NFR repository'!$U117)&gt;0,FALSE)),'NFR repository'!$I117,0)</f>
        <v>0</v>
      </c>
      <c r="BE117" s="93">
        <f>IF(AND('NFR repository'!$H117=Params!$I$3,IFERROR(FIND(BE$1,'NFR repository'!$U117)&gt;0,FALSE)),'NFR repository'!$I117,0)</f>
        <v>0</v>
      </c>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row>
    <row r="118" spans="1:84" ht="45" x14ac:dyDescent="0.25">
      <c r="A118" s="1"/>
      <c r="B118" s="210" t="s">
        <v>727</v>
      </c>
      <c r="C118" s="196" t="s">
        <v>728</v>
      </c>
      <c r="D118" s="83" t="s">
        <v>821</v>
      </c>
      <c r="E118" s="87"/>
      <c r="F118" s="38" t="s">
        <v>133</v>
      </c>
      <c r="G118" s="78" t="s">
        <v>647</v>
      </c>
      <c r="H118" s="35" t="s">
        <v>472</v>
      </c>
      <c r="I118" s="72" t="s">
        <v>41</v>
      </c>
      <c r="J118" s="228"/>
      <c r="K118" s="228"/>
      <c r="L118" s="201"/>
      <c r="M118" s="38" t="s">
        <v>558</v>
      </c>
      <c r="N118" s="80" t="s">
        <v>143</v>
      </c>
      <c r="O118" s="78" t="s">
        <v>573</v>
      </c>
      <c r="P118" s="78" t="s">
        <v>573</v>
      </c>
      <c r="Q118" s="78" t="s">
        <v>46</v>
      </c>
      <c r="R118" s="78" t="s">
        <v>46</v>
      </c>
      <c r="S118" s="38" t="s">
        <v>46</v>
      </c>
      <c r="T118" s="38" t="s">
        <v>46</v>
      </c>
      <c r="U118" s="38" t="s">
        <v>11</v>
      </c>
      <c r="V118" s="38" t="s">
        <v>11</v>
      </c>
      <c r="W118" s="11"/>
      <c r="X118" s="11"/>
      <c r="Y118" s="11"/>
      <c r="Z118" s="11"/>
      <c r="AA118" s="11"/>
      <c r="AB118" s="11"/>
      <c r="AC118" s="11"/>
      <c r="AD118" s="11"/>
      <c r="AE118" s="11" t="s">
        <v>128</v>
      </c>
      <c r="AF118" s="11" t="s">
        <v>128</v>
      </c>
      <c r="AG118" s="11" t="s">
        <v>128</v>
      </c>
      <c r="AH118" s="11" t="s">
        <v>128</v>
      </c>
      <c r="AI118" s="11"/>
      <c r="AJ118" s="11"/>
      <c r="AK118" s="11"/>
      <c r="AL118" s="11"/>
      <c r="AM118" s="11"/>
      <c r="AN118" s="11"/>
      <c r="AO118" s="11"/>
      <c r="AP118" s="11"/>
      <c r="AQ118" s="11"/>
      <c r="AR118" s="2"/>
      <c r="AS118" s="92" t="e">
        <f ca="1">IF(AND('NFR repository'!H118=Params!$I$3,INDIRECT("'NFR repository'!L" &amp; ROW('NFR repository'!A118) &amp; "C" &amp; TEXT(24 + $AS$2,"0"),FALSE)&lt;&gt;""),'NFR repository'!I118,0)</f>
        <v>#REF!</v>
      </c>
      <c r="AT118" s="224" t="e">
        <f ca="1">IF(AND('NFR repository'!H118=Params!$I$3,INDIRECT("'NFR repository'!L" &amp; ROW('NFR repository'!R118) &amp; "C" &amp; TEXT(28 + $AT$2,"0"),FALSE)&lt;&gt;""),'NFR repository'!I118,0)</f>
        <v>#REF!</v>
      </c>
      <c r="AU118" s="224" t="e">
        <f ca="1">IF(AND('NFR repository'!H118=Params!$I$3,INDIRECT("'NFR repository'!L" &amp; ROW('NFR repository'!R118) &amp; "C" &amp; TEXT(32 + $AU$2,"0"),FALSE)&lt;&gt;""),'NFR repository'!I118,0)</f>
        <v>#REF!</v>
      </c>
      <c r="AV118" s="233" t="e">
        <f ca="1">IF(AND('NFR repository'!H118=Params!$I$3,INDIRECT("'NFR repository'!L" &amp; ROW('NFR repository'!R118) &amp; "C" &amp; TEXT(36 + $AV$2,"0"),FALSE)&lt;&gt;""),'NFR repository'!I118,0)</f>
        <v>#REF!</v>
      </c>
      <c r="AW118" s="92">
        <f>IF(AND('NFR repository'!$H118=Params!$I$3,IFERROR(FIND(AW$1,'NFR repository'!$U118)&gt;0,FALSE)),'NFR repository'!$I118,0)</f>
        <v>0</v>
      </c>
      <c r="AX118" s="231">
        <f>IF(AND('NFR repository'!$H118=Params!$I$3,Synthesis!$I$8&lt;&gt;Params!$B$17,IFERROR(FIND(AX$1,'NFR repository'!$U118)&gt;0,FALSE)),'NFR repository'!$I118,0)</f>
        <v>0</v>
      </c>
      <c r="AY118" s="231">
        <f>IF(AND('NFR repository'!$H118=Params!$I$3,IFERROR(FIND(AY$1,'NFR repository'!$U118)&gt;0,FALSE)),'NFR repository'!$I118,0)</f>
        <v>0</v>
      </c>
      <c r="AZ118" s="231">
        <f>IF(AND('NFR repository'!$H118=Params!$I$3,IFERROR(FIND(AZ$1,'NFR repository'!$U118)&gt;0,FALSE)),'NFR repository'!$I118,0)</f>
        <v>0</v>
      </c>
      <c r="BA118" s="231">
        <f>IF(AND('NFR repository'!$H118=Params!$I$3,IFERROR(FIND(BA$1,'NFR repository'!$U118)&gt;0,FALSE)),'NFR repository'!$I118,0)</f>
        <v>0</v>
      </c>
      <c r="BB118" s="231">
        <f>IF(AND('NFR repository'!$H118=Params!$I$3,IFERROR(FIND(BB$1,'NFR repository'!$U118)&gt;0,FALSE)),'NFR repository'!$I118,0)</f>
        <v>0</v>
      </c>
      <c r="BC118" s="231">
        <f>IF(AND('NFR repository'!$H118=Params!$I$3,IFERROR(FIND(BC$1,'NFR repository'!$U118)&gt;0,FALSE)),'NFR repository'!$I118,0)</f>
        <v>0</v>
      </c>
      <c r="BD118" s="231">
        <f>IF(AND('NFR repository'!$H118=Params!$I$3,IFERROR(FIND(BD$1,'NFR repository'!$U118)&gt;0,FALSE)),'NFR repository'!$I118,0)</f>
        <v>0</v>
      </c>
      <c r="BE118" s="93">
        <f>IF(AND('NFR repository'!$H118=Params!$I$3,IFERROR(FIND(BE$1,'NFR repository'!$U118)&gt;0,FALSE)),'NFR repository'!$I118,0)</f>
        <v>0</v>
      </c>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row>
    <row r="119" spans="1:84" ht="15.75" x14ac:dyDescent="0.25">
      <c r="A119" s="1"/>
      <c r="B119" s="52" t="s">
        <v>86</v>
      </c>
      <c r="C119" s="39" t="s">
        <v>81</v>
      </c>
      <c r="D119" s="88"/>
      <c r="E119" s="88"/>
      <c r="F119" s="41"/>
      <c r="G119" s="77"/>
      <c r="H119" s="41"/>
      <c r="I119" s="50"/>
      <c r="J119" s="218"/>
      <c r="K119" s="218"/>
      <c r="L119" s="205"/>
      <c r="M119" s="77"/>
      <c r="N119" s="77"/>
      <c r="O119" s="77"/>
      <c r="P119" s="77"/>
      <c r="Q119" s="77"/>
      <c r="R119" s="77"/>
      <c r="S119" s="41"/>
      <c r="T119" s="41"/>
      <c r="U119" s="41"/>
      <c r="V119" s="41"/>
      <c r="W119" s="4"/>
      <c r="X119" s="4"/>
      <c r="Y119" s="4"/>
      <c r="Z119" s="4"/>
      <c r="AA119" s="4"/>
      <c r="AB119" s="4"/>
      <c r="AC119" s="4"/>
      <c r="AD119" s="4"/>
      <c r="AE119" s="4"/>
      <c r="AF119" s="4"/>
      <c r="AG119" s="4"/>
      <c r="AH119" s="4"/>
      <c r="AI119" s="4"/>
      <c r="AJ119" s="4"/>
      <c r="AK119" s="4"/>
      <c r="AL119" s="4"/>
      <c r="AM119" s="4"/>
      <c r="AN119" s="4"/>
      <c r="AO119" s="4"/>
      <c r="AP119" s="4"/>
      <c r="AQ119" s="4"/>
      <c r="AR119" s="2"/>
      <c r="AS119" s="92" t="e">
        <f ca="1">IF(AND('NFR repository'!H119=Params!$I$3,INDIRECT("'NFR repository'!L" &amp; ROW('NFR repository'!A119) &amp; "C" &amp; TEXT(24 + $AS$2,"0"),FALSE)&lt;&gt;""),'NFR repository'!I119,0)</f>
        <v>#REF!</v>
      </c>
      <c r="AT119" s="168" t="e">
        <f ca="1">IF(AND('NFR repository'!H119=Params!$I$3,INDIRECT("'NFR repository'!L" &amp; ROW('NFR repository'!R119) &amp; "C" &amp; TEXT(28 + $AT$2,"0"),FALSE)&lt;&gt;""),'NFR repository'!I119,0)</f>
        <v>#REF!</v>
      </c>
      <c r="AU119" s="168" t="e">
        <f ca="1">IF(AND('NFR repository'!H119=Params!$I$3,INDIRECT("'NFR repository'!L" &amp; ROW('NFR repository'!R119) &amp; "C" &amp; TEXT(32 + $AU$2,"0"),FALSE)&lt;&gt;""),'NFR repository'!I119,0)</f>
        <v>#REF!</v>
      </c>
      <c r="AV119" s="233" t="e">
        <f ca="1">IF(AND('NFR repository'!H119=Params!$I$3,INDIRECT("'NFR repository'!L" &amp; ROW('NFR repository'!R119) &amp; "C" &amp; TEXT(36 + $AV$2,"0"),FALSE)&lt;&gt;""),'NFR repository'!I119,0)</f>
        <v>#REF!</v>
      </c>
      <c r="AW119" s="92">
        <f>IF(AND('NFR repository'!$H119=Params!$I$3,IFERROR(FIND(AW$1,'NFR repository'!$U119)&gt;0,FALSE)),'NFR repository'!$I119,0)</f>
        <v>0</v>
      </c>
      <c r="AX119" s="231">
        <f>IF(AND('NFR repository'!$H119=Params!$I$3,Synthesis!$I$8&lt;&gt;Params!$B$17,IFERROR(FIND(AX$1,'NFR repository'!$U119)&gt;0,FALSE)),'NFR repository'!$I119,0)</f>
        <v>0</v>
      </c>
      <c r="AY119" s="231">
        <f>IF(AND('NFR repository'!$H119=Params!$I$3,IFERROR(FIND(AY$1,'NFR repository'!$U119)&gt;0,FALSE)),'NFR repository'!$I119,0)</f>
        <v>0</v>
      </c>
      <c r="AZ119" s="231">
        <f>IF(AND('NFR repository'!$H119=Params!$I$3,IFERROR(FIND(AZ$1,'NFR repository'!$U119)&gt;0,FALSE)),'NFR repository'!$I119,0)</f>
        <v>0</v>
      </c>
      <c r="BA119" s="231">
        <f>IF(AND('NFR repository'!$H119=Params!$I$3,IFERROR(FIND(BA$1,'NFR repository'!$U119)&gt;0,FALSE)),'NFR repository'!$I119,0)</f>
        <v>0</v>
      </c>
      <c r="BB119" s="231">
        <f>IF(AND('NFR repository'!$H119=Params!$I$3,IFERROR(FIND(BB$1,'NFR repository'!$U119)&gt;0,FALSE)),'NFR repository'!$I119,0)</f>
        <v>0</v>
      </c>
      <c r="BC119" s="231">
        <f>IF(AND('NFR repository'!$H119=Params!$I$3,IFERROR(FIND(BC$1,'NFR repository'!$U119)&gt;0,FALSE)),'NFR repository'!$I119,0)</f>
        <v>0</v>
      </c>
      <c r="BD119" s="231">
        <f>IF(AND('NFR repository'!$H119=Params!$I$3,IFERROR(FIND(BD$1,'NFR repository'!$U119)&gt;0,FALSE)),'NFR repository'!$I119,0)</f>
        <v>0</v>
      </c>
      <c r="BE119" s="93">
        <f>IF(AND('NFR repository'!$H119=Params!$I$3,IFERROR(FIND(BE$1,'NFR repository'!$U119)&gt;0,FALSE)),'NFR repository'!$I119,0)</f>
        <v>0</v>
      </c>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row>
    <row r="120" spans="1:84" ht="45" x14ac:dyDescent="0.25">
      <c r="A120" s="2"/>
      <c r="B120" s="193" t="s">
        <v>246</v>
      </c>
      <c r="C120" s="194" t="s">
        <v>402</v>
      </c>
      <c r="D120" s="83" t="s">
        <v>763</v>
      </c>
      <c r="E120" s="84"/>
      <c r="F120" s="35" t="s">
        <v>583</v>
      </c>
      <c r="G120" s="78" t="s">
        <v>583</v>
      </c>
      <c r="H120" s="35" t="s">
        <v>472</v>
      </c>
      <c r="I120" s="72" t="s">
        <v>41</v>
      </c>
      <c r="J120" s="215"/>
      <c r="K120" s="215"/>
      <c r="L120" s="195"/>
      <c r="M120" s="51" t="s">
        <v>130</v>
      </c>
      <c r="N120" s="51" t="s">
        <v>648</v>
      </c>
      <c r="O120" s="51" t="s">
        <v>576</v>
      </c>
      <c r="P120" s="51" t="s">
        <v>577</v>
      </c>
      <c r="Q120" s="51" t="s">
        <v>46</v>
      </c>
      <c r="R120" s="51" t="s">
        <v>46</v>
      </c>
      <c r="S120" s="35" t="s">
        <v>46</v>
      </c>
      <c r="T120" s="35" t="s">
        <v>46</v>
      </c>
      <c r="U120" s="35" t="s">
        <v>714</v>
      </c>
      <c r="V120" s="35" t="s">
        <v>11</v>
      </c>
      <c r="W120" s="3" t="s">
        <v>128</v>
      </c>
      <c r="X120" s="3" t="s">
        <v>128</v>
      </c>
      <c r="Y120" s="3" t="s">
        <v>128</v>
      </c>
      <c r="Z120" s="3" t="s">
        <v>128</v>
      </c>
      <c r="AA120" s="3" t="s">
        <v>128</v>
      </c>
      <c r="AB120" s="3" t="s">
        <v>128</v>
      </c>
      <c r="AC120" s="3" t="s">
        <v>128</v>
      </c>
      <c r="AD120" s="3" t="s">
        <v>128</v>
      </c>
      <c r="AE120" s="3" t="s">
        <v>128</v>
      </c>
      <c r="AF120" s="3" t="s">
        <v>128</v>
      </c>
      <c r="AG120" s="3" t="s">
        <v>128</v>
      </c>
      <c r="AH120" s="3" t="s">
        <v>128</v>
      </c>
      <c r="AI120" s="3"/>
      <c r="AJ120" s="3"/>
      <c r="AK120" s="3"/>
      <c r="AL120" s="3"/>
      <c r="AM120" s="3"/>
      <c r="AN120" s="3"/>
      <c r="AO120" s="3"/>
      <c r="AP120" s="3"/>
      <c r="AQ120" s="3"/>
      <c r="AR120" s="2"/>
      <c r="AS120" s="92" t="e">
        <f ca="1">IF(AND('NFR repository'!H120=Params!$I$3,INDIRECT("'NFR repository'!L" &amp; ROW('NFR repository'!A120) &amp; "C" &amp; TEXT(24 + $AS$2,"0"),FALSE)&lt;&gt;""),'NFR repository'!I120,0)</f>
        <v>#REF!</v>
      </c>
      <c r="AT120" s="168" t="e">
        <f ca="1">IF(AND('NFR repository'!H120=Params!$I$3,INDIRECT("'NFR repository'!L" &amp; ROW('NFR repository'!R120) &amp; "C" &amp; TEXT(28 + $AT$2,"0"),FALSE)&lt;&gt;""),'NFR repository'!I120,0)</f>
        <v>#REF!</v>
      </c>
      <c r="AU120" s="168" t="e">
        <f ca="1">IF(AND('NFR repository'!H120=Params!$I$3,INDIRECT("'NFR repository'!L" &amp; ROW('NFR repository'!R120) &amp; "C" &amp; TEXT(32 + $AU$2,"0"),FALSE)&lt;&gt;""),'NFR repository'!I120,0)</f>
        <v>#REF!</v>
      </c>
      <c r="AV120" s="233" t="e">
        <f ca="1">IF(AND('NFR repository'!H120=Params!$I$3,INDIRECT("'NFR repository'!L" &amp; ROW('NFR repository'!R120) &amp; "C" &amp; TEXT(36 + $AV$2,"0"),FALSE)&lt;&gt;""),'NFR repository'!I120,0)</f>
        <v>#REF!</v>
      </c>
      <c r="AW120" s="92">
        <f>IF(AND('NFR repository'!$H120=Params!$I$3,IFERROR(FIND(AW$1,'NFR repository'!$U120)&gt;0,FALSE)),'NFR repository'!$I120,0)</f>
        <v>0</v>
      </c>
      <c r="AX120" s="231">
        <f>IF(AND('NFR repository'!$H120=Params!$I$3,Synthesis!$I$8&lt;&gt;Params!$B$17,IFERROR(FIND(AX$1,'NFR repository'!$U120)&gt;0,FALSE)),'NFR repository'!$I120,0)</f>
        <v>0</v>
      </c>
      <c r="AY120" s="231">
        <f>IF(AND('NFR repository'!$H120=Params!$I$3,IFERROR(FIND(AY$1,'NFR repository'!$U120)&gt;0,FALSE)),'NFR repository'!$I120,0)</f>
        <v>0</v>
      </c>
      <c r="AZ120" s="231">
        <f>IF(AND('NFR repository'!$H120=Params!$I$3,IFERROR(FIND(AZ$1,'NFR repository'!$U120)&gt;0,FALSE)),'NFR repository'!$I120,0)</f>
        <v>0</v>
      </c>
      <c r="BA120" s="231">
        <f>IF(AND('NFR repository'!$H120=Params!$I$3,IFERROR(FIND(BA$1,'NFR repository'!$U120)&gt;0,FALSE)),'NFR repository'!$I120,0)</f>
        <v>0</v>
      </c>
      <c r="BB120" s="231">
        <f>IF(AND('NFR repository'!$H120=Params!$I$3,IFERROR(FIND(BB$1,'NFR repository'!$U120)&gt;0,FALSE)),'NFR repository'!$I120,0)</f>
        <v>0</v>
      </c>
      <c r="BC120" s="231">
        <f>IF(AND('NFR repository'!$H120=Params!$I$3,IFERROR(FIND(BC$1,'NFR repository'!$U120)&gt;0,FALSE)),'NFR repository'!$I120,0)</f>
        <v>0</v>
      </c>
      <c r="BD120" s="231">
        <f>IF(AND('NFR repository'!$H120=Params!$I$3,IFERROR(FIND(BD$1,'NFR repository'!$U120)&gt;0,FALSE)),'NFR repository'!$I120,0)</f>
        <v>0</v>
      </c>
      <c r="BE120" s="93">
        <f>IF(AND('NFR repository'!$H120=Params!$I$3,IFERROR(FIND(BE$1,'NFR repository'!$U120)&gt;0,FALSE)),'NFR repository'!$I120,0)</f>
        <v>0</v>
      </c>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row>
    <row r="121" spans="1:84" ht="45" x14ac:dyDescent="0.25">
      <c r="A121" s="2"/>
      <c r="B121" s="193" t="s">
        <v>247</v>
      </c>
      <c r="C121" s="194" t="s">
        <v>403</v>
      </c>
      <c r="D121" s="36" t="s">
        <v>137</v>
      </c>
      <c r="E121" s="36"/>
      <c r="F121" s="35" t="s">
        <v>583</v>
      </c>
      <c r="G121" s="78" t="s">
        <v>583</v>
      </c>
      <c r="H121" s="35" t="s">
        <v>472</v>
      </c>
      <c r="I121" s="72" t="s">
        <v>41</v>
      </c>
      <c r="J121" s="215"/>
      <c r="K121" s="215"/>
      <c r="L121" s="195"/>
      <c r="M121" s="51" t="s">
        <v>130</v>
      </c>
      <c r="N121" s="51" t="s">
        <v>139</v>
      </c>
      <c r="O121" s="51" t="s">
        <v>576</v>
      </c>
      <c r="P121" s="51" t="s">
        <v>577</v>
      </c>
      <c r="Q121" s="51" t="s">
        <v>156</v>
      </c>
      <c r="R121" s="51" t="s">
        <v>151</v>
      </c>
      <c r="S121" s="35" t="s">
        <v>294</v>
      </c>
      <c r="T121" s="35" t="s">
        <v>46</v>
      </c>
      <c r="U121" s="35" t="s">
        <v>714</v>
      </c>
      <c r="V121" s="38" t="s">
        <v>591</v>
      </c>
      <c r="W121" s="3"/>
      <c r="X121" s="3"/>
      <c r="Y121" s="3"/>
      <c r="Z121" s="3"/>
      <c r="AA121" s="3" t="s">
        <v>128</v>
      </c>
      <c r="AB121" s="3" t="s">
        <v>128</v>
      </c>
      <c r="AC121" s="3" t="s">
        <v>128</v>
      </c>
      <c r="AD121" s="3" t="s">
        <v>128</v>
      </c>
      <c r="AE121" s="3"/>
      <c r="AF121" s="3"/>
      <c r="AG121" s="3"/>
      <c r="AH121" s="3"/>
      <c r="AI121" s="3"/>
      <c r="AJ121" s="3"/>
      <c r="AK121" s="3"/>
      <c r="AL121" s="3"/>
      <c r="AM121" s="3"/>
      <c r="AN121" s="3"/>
      <c r="AO121" s="3"/>
      <c r="AP121" s="3"/>
      <c r="AQ121" s="3"/>
      <c r="AR121" s="2"/>
      <c r="AS121" s="92" t="e">
        <f ca="1">IF(AND('NFR repository'!H121=Params!$I$3,INDIRECT("'NFR repository'!L" &amp; ROW('NFR repository'!A121) &amp; "C" &amp; TEXT(24 + $AS$2,"0"),FALSE)&lt;&gt;""),'NFR repository'!I121,0)</f>
        <v>#REF!</v>
      </c>
      <c r="AT121" s="168" t="e">
        <f ca="1">IF(AND('NFR repository'!H121=Params!$I$3,INDIRECT("'NFR repository'!L" &amp; ROW('NFR repository'!R121) &amp; "C" &amp; TEXT(28 + $AT$2,"0"),FALSE)&lt;&gt;""),'NFR repository'!I121,0)</f>
        <v>#REF!</v>
      </c>
      <c r="AU121" s="168" t="e">
        <f ca="1">IF(AND('NFR repository'!H121=Params!$I$3,INDIRECT("'NFR repository'!L" &amp; ROW('NFR repository'!R121) &amp; "C" &amp; TEXT(32 + $AU$2,"0"),FALSE)&lt;&gt;""),'NFR repository'!I121,0)</f>
        <v>#REF!</v>
      </c>
      <c r="AV121" s="233" t="e">
        <f ca="1">IF(AND('NFR repository'!H121=Params!$I$3,INDIRECT("'NFR repository'!L" &amp; ROW('NFR repository'!R121) &amp; "C" &amp; TEXT(36 + $AV$2,"0"),FALSE)&lt;&gt;""),'NFR repository'!I121,0)</f>
        <v>#REF!</v>
      </c>
      <c r="AW121" s="92">
        <f>IF(AND('NFR repository'!$H121=Params!$I$3,IFERROR(FIND(AW$1,'NFR repository'!$U121)&gt;0,FALSE)),'NFR repository'!$I121,0)</f>
        <v>0</v>
      </c>
      <c r="AX121" s="231">
        <f>IF(AND('NFR repository'!$H121=Params!$I$3,Synthesis!$I$8&lt;&gt;Params!$B$17,IFERROR(FIND(AX$1,'NFR repository'!$U121)&gt;0,FALSE)),'NFR repository'!$I121,0)</f>
        <v>0</v>
      </c>
      <c r="AY121" s="231">
        <f>IF(AND('NFR repository'!$H121=Params!$I$3,IFERROR(FIND(AY$1,'NFR repository'!$U121)&gt;0,FALSE)),'NFR repository'!$I121,0)</f>
        <v>0</v>
      </c>
      <c r="AZ121" s="231">
        <f>IF(AND('NFR repository'!$H121=Params!$I$3,IFERROR(FIND(AZ$1,'NFR repository'!$U121)&gt;0,FALSE)),'NFR repository'!$I121,0)</f>
        <v>0</v>
      </c>
      <c r="BA121" s="231">
        <f>IF(AND('NFR repository'!$H121=Params!$I$3,IFERROR(FIND(BA$1,'NFR repository'!$U121)&gt;0,FALSE)),'NFR repository'!$I121,0)</f>
        <v>0</v>
      </c>
      <c r="BB121" s="231">
        <f>IF(AND('NFR repository'!$H121=Params!$I$3,IFERROR(FIND(BB$1,'NFR repository'!$U121)&gt;0,FALSE)),'NFR repository'!$I121,0)</f>
        <v>0</v>
      </c>
      <c r="BC121" s="231">
        <f>IF(AND('NFR repository'!$H121=Params!$I$3,IFERROR(FIND(BC$1,'NFR repository'!$U121)&gt;0,FALSE)),'NFR repository'!$I121,0)</f>
        <v>0</v>
      </c>
      <c r="BD121" s="231">
        <f>IF(AND('NFR repository'!$H121=Params!$I$3,IFERROR(FIND(BD$1,'NFR repository'!$U121)&gt;0,FALSE)),'NFR repository'!$I121,0)</f>
        <v>0</v>
      </c>
      <c r="BE121" s="93">
        <f>IF(AND('NFR repository'!$H121=Params!$I$3,IFERROR(FIND(BE$1,'NFR repository'!$U121)&gt;0,FALSE)),'NFR repository'!$I121,0)</f>
        <v>0</v>
      </c>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row>
    <row r="122" spans="1:84" ht="30" x14ac:dyDescent="0.25">
      <c r="A122" s="2"/>
      <c r="B122" s="193" t="s">
        <v>248</v>
      </c>
      <c r="C122" s="194" t="s">
        <v>404</v>
      </c>
      <c r="D122" s="36" t="s">
        <v>137</v>
      </c>
      <c r="E122" s="36"/>
      <c r="F122" s="35" t="s">
        <v>583</v>
      </c>
      <c r="G122" s="78" t="s">
        <v>583</v>
      </c>
      <c r="H122" s="35" t="s">
        <v>472</v>
      </c>
      <c r="I122" s="37" t="s">
        <v>41</v>
      </c>
      <c r="J122" s="215"/>
      <c r="K122" s="215"/>
      <c r="L122" s="195"/>
      <c r="M122" s="51" t="s">
        <v>130</v>
      </c>
      <c r="N122" s="51" t="s">
        <v>139</v>
      </c>
      <c r="O122" s="51" t="s">
        <v>576</v>
      </c>
      <c r="P122" s="51" t="s">
        <v>577</v>
      </c>
      <c r="Q122" s="51" t="s">
        <v>156</v>
      </c>
      <c r="R122" s="51" t="s">
        <v>151</v>
      </c>
      <c r="S122" s="35" t="s">
        <v>281</v>
      </c>
      <c r="T122" s="35" t="s">
        <v>46</v>
      </c>
      <c r="U122" s="35" t="s">
        <v>11</v>
      </c>
      <c r="V122" s="35" t="s">
        <v>11</v>
      </c>
      <c r="W122" s="3"/>
      <c r="X122" s="3"/>
      <c r="Y122" s="3"/>
      <c r="Z122" s="3"/>
      <c r="AA122" s="3"/>
      <c r="AB122" s="3"/>
      <c r="AC122" s="3"/>
      <c r="AD122" s="3" t="s">
        <v>128</v>
      </c>
      <c r="AE122" s="3"/>
      <c r="AF122" s="3"/>
      <c r="AG122" s="3"/>
      <c r="AH122" s="3"/>
      <c r="AI122" s="3"/>
      <c r="AJ122" s="3"/>
      <c r="AK122" s="3"/>
      <c r="AL122" s="3"/>
      <c r="AM122" s="3"/>
      <c r="AN122" s="3"/>
      <c r="AO122" s="3"/>
      <c r="AP122" s="3"/>
      <c r="AQ122" s="3"/>
      <c r="AR122" s="2"/>
      <c r="AS122" s="92" t="e">
        <f ca="1">IF(AND('NFR repository'!H122=Params!$I$3,INDIRECT("'NFR repository'!L" &amp; ROW('NFR repository'!A122) &amp; "C" &amp; TEXT(24 + $AS$2,"0"),FALSE)&lt;&gt;""),'NFR repository'!I122,0)</f>
        <v>#REF!</v>
      </c>
      <c r="AT122" s="168" t="e">
        <f ca="1">IF(AND('NFR repository'!H122=Params!$I$3,INDIRECT("'NFR repository'!L" &amp; ROW('NFR repository'!R122) &amp; "C" &amp; TEXT(28 + $AT$2,"0"),FALSE)&lt;&gt;""),'NFR repository'!I122,0)</f>
        <v>#REF!</v>
      </c>
      <c r="AU122" s="168" t="e">
        <f ca="1">IF(AND('NFR repository'!H122=Params!$I$3,INDIRECT("'NFR repository'!L" &amp; ROW('NFR repository'!R122) &amp; "C" &amp; TEXT(32 + $AU$2,"0"),FALSE)&lt;&gt;""),'NFR repository'!I122,0)</f>
        <v>#REF!</v>
      </c>
      <c r="AV122" s="233" t="e">
        <f ca="1">IF(AND('NFR repository'!H122=Params!$I$3,INDIRECT("'NFR repository'!L" &amp; ROW('NFR repository'!R122) &amp; "C" &amp; TEXT(36 + $AV$2,"0"),FALSE)&lt;&gt;""),'NFR repository'!I122,0)</f>
        <v>#REF!</v>
      </c>
      <c r="AW122" s="92">
        <f>IF(AND('NFR repository'!$H122=Params!$I$3,IFERROR(FIND(AW$1,'NFR repository'!$U122)&gt;0,FALSE)),'NFR repository'!$I122,0)</f>
        <v>0</v>
      </c>
      <c r="AX122" s="231">
        <f>IF(AND('NFR repository'!$H122=Params!$I$3,Synthesis!$I$8&lt;&gt;Params!$B$17,IFERROR(FIND(AX$1,'NFR repository'!$U122)&gt;0,FALSE)),'NFR repository'!$I122,0)</f>
        <v>0</v>
      </c>
      <c r="AY122" s="231">
        <f>IF(AND('NFR repository'!$H122=Params!$I$3,IFERROR(FIND(AY$1,'NFR repository'!$U122)&gt;0,FALSE)),'NFR repository'!$I122,0)</f>
        <v>0</v>
      </c>
      <c r="AZ122" s="231">
        <f>IF(AND('NFR repository'!$H122=Params!$I$3,IFERROR(FIND(AZ$1,'NFR repository'!$U122)&gt;0,FALSE)),'NFR repository'!$I122,0)</f>
        <v>0</v>
      </c>
      <c r="BA122" s="231">
        <f>IF(AND('NFR repository'!$H122=Params!$I$3,IFERROR(FIND(BA$1,'NFR repository'!$U122)&gt;0,FALSE)),'NFR repository'!$I122,0)</f>
        <v>0</v>
      </c>
      <c r="BB122" s="231">
        <f>IF(AND('NFR repository'!$H122=Params!$I$3,IFERROR(FIND(BB$1,'NFR repository'!$U122)&gt;0,FALSE)),'NFR repository'!$I122,0)</f>
        <v>0</v>
      </c>
      <c r="BC122" s="231">
        <f>IF(AND('NFR repository'!$H122=Params!$I$3,IFERROR(FIND(BC$1,'NFR repository'!$U122)&gt;0,FALSE)),'NFR repository'!$I122,0)</f>
        <v>0</v>
      </c>
      <c r="BD122" s="231">
        <f>IF(AND('NFR repository'!$H122=Params!$I$3,IFERROR(FIND(BD$1,'NFR repository'!$U122)&gt;0,FALSE)),'NFR repository'!$I122,0)</f>
        <v>0</v>
      </c>
      <c r="BE122" s="93">
        <f>IF(AND('NFR repository'!$H122=Params!$I$3,IFERROR(FIND(BE$1,'NFR repository'!$U122)&gt;0,FALSE)),'NFR repository'!$I122,0)</f>
        <v>0</v>
      </c>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row>
    <row r="123" spans="1:84" ht="30" x14ac:dyDescent="0.25">
      <c r="A123" s="2"/>
      <c r="B123" s="193" t="s">
        <v>249</v>
      </c>
      <c r="C123" s="194" t="s">
        <v>405</v>
      </c>
      <c r="D123" s="36" t="s">
        <v>137</v>
      </c>
      <c r="E123" s="36"/>
      <c r="F123" s="35" t="s">
        <v>583</v>
      </c>
      <c r="G123" s="78" t="s">
        <v>583</v>
      </c>
      <c r="H123" s="35" t="s">
        <v>472</v>
      </c>
      <c r="I123" s="72" t="s">
        <v>41</v>
      </c>
      <c r="J123" s="215"/>
      <c r="K123" s="215"/>
      <c r="L123" s="195"/>
      <c r="M123" s="51" t="s">
        <v>558</v>
      </c>
      <c r="N123" s="51" t="s">
        <v>600</v>
      </c>
      <c r="O123" s="51" t="s">
        <v>576</v>
      </c>
      <c r="P123" s="51" t="s">
        <v>577</v>
      </c>
      <c r="Q123" s="51" t="s">
        <v>156</v>
      </c>
      <c r="R123" s="51" t="s">
        <v>280</v>
      </c>
      <c r="S123" s="35" t="s">
        <v>282</v>
      </c>
      <c r="T123" s="35" t="s">
        <v>46</v>
      </c>
      <c r="U123" s="38" t="s">
        <v>717</v>
      </c>
      <c r="V123" s="35" t="s">
        <v>11</v>
      </c>
      <c r="W123" s="3"/>
      <c r="X123" s="3"/>
      <c r="Y123" s="3"/>
      <c r="Z123" s="3"/>
      <c r="AA123" s="3"/>
      <c r="AB123" s="3"/>
      <c r="AC123" s="3"/>
      <c r="AD123" s="3"/>
      <c r="AE123" s="3"/>
      <c r="AF123" s="3"/>
      <c r="AG123" s="3"/>
      <c r="AH123" s="3"/>
      <c r="AI123" s="3"/>
      <c r="AJ123" s="3"/>
      <c r="AK123" s="3" t="s">
        <v>128</v>
      </c>
      <c r="AL123" s="3" t="s">
        <v>128</v>
      </c>
      <c r="AM123" s="3"/>
      <c r="AN123" s="3"/>
      <c r="AO123" s="3" t="s">
        <v>128</v>
      </c>
      <c r="AP123" s="3"/>
      <c r="AQ123" s="3"/>
      <c r="AR123" s="2"/>
      <c r="AS123" s="92" t="e">
        <f ca="1">IF(AND('NFR repository'!H123=Params!$I$3,INDIRECT("'NFR repository'!L" &amp; ROW('NFR repository'!A123) &amp; "C" &amp; TEXT(24 + $AS$2,"0"),FALSE)&lt;&gt;""),'NFR repository'!I123,0)</f>
        <v>#REF!</v>
      </c>
      <c r="AT123" s="168" t="e">
        <f ca="1">IF(AND('NFR repository'!H123=Params!$I$3,INDIRECT("'NFR repository'!L" &amp; ROW('NFR repository'!R123) &amp; "C" &amp; TEXT(28 + $AT$2,"0"),FALSE)&lt;&gt;""),'NFR repository'!I123,0)</f>
        <v>#REF!</v>
      </c>
      <c r="AU123" s="168" t="e">
        <f ca="1">IF(AND('NFR repository'!H123=Params!$I$3,INDIRECT("'NFR repository'!L" &amp; ROW('NFR repository'!R123) &amp; "C" &amp; TEXT(32 + $AU$2,"0"),FALSE)&lt;&gt;""),'NFR repository'!I123,0)</f>
        <v>#REF!</v>
      </c>
      <c r="AV123" s="233" t="e">
        <f ca="1">IF(AND('NFR repository'!H123=Params!$I$3,INDIRECT("'NFR repository'!L" &amp; ROW('NFR repository'!R123) &amp; "C" &amp; TEXT(36 + $AV$2,"0"),FALSE)&lt;&gt;""),'NFR repository'!I123,0)</f>
        <v>#REF!</v>
      </c>
      <c r="AW123" s="92">
        <f>IF(AND('NFR repository'!$H123=Params!$I$3,IFERROR(FIND(AW$1,'NFR repository'!$U123)&gt;0,FALSE)),'NFR repository'!$I123,0)</f>
        <v>0</v>
      </c>
      <c r="AX123" s="231">
        <f>IF(AND('NFR repository'!$H123=Params!$I$3,Synthesis!$I$8&lt;&gt;Params!$B$17,IFERROR(FIND(AX$1,'NFR repository'!$U123)&gt;0,FALSE)),'NFR repository'!$I123,0)</f>
        <v>0</v>
      </c>
      <c r="AY123" s="231">
        <f>IF(AND('NFR repository'!$H123=Params!$I$3,IFERROR(FIND(AY$1,'NFR repository'!$U123)&gt;0,FALSE)),'NFR repository'!$I123,0)</f>
        <v>0</v>
      </c>
      <c r="AZ123" s="231">
        <f>IF(AND('NFR repository'!$H123=Params!$I$3,IFERROR(FIND(AZ$1,'NFR repository'!$U123)&gt;0,FALSE)),'NFR repository'!$I123,0)</f>
        <v>0</v>
      </c>
      <c r="BA123" s="231">
        <f>IF(AND('NFR repository'!$H123=Params!$I$3,IFERROR(FIND(BA$1,'NFR repository'!$U123)&gt;0,FALSE)),'NFR repository'!$I123,0)</f>
        <v>0</v>
      </c>
      <c r="BB123" s="231">
        <f>IF(AND('NFR repository'!$H123=Params!$I$3,IFERROR(FIND(BB$1,'NFR repository'!$U123)&gt;0,FALSE)),'NFR repository'!$I123,0)</f>
        <v>0</v>
      </c>
      <c r="BC123" s="231">
        <f>IF(AND('NFR repository'!$H123=Params!$I$3,IFERROR(FIND(BC$1,'NFR repository'!$U123)&gt;0,FALSE)),'NFR repository'!$I123,0)</f>
        <v>0</v>
      </c>
      <c r="BD123" s="231">
        <f>IF(AND('NFR repository'!$H123=Params!$I$3,IFERROR(FIND(BD$1,'NFR repository'!$U123)&gt;0,FALSE)),'NFR repository'!$I123,0)</f>
        <v>0</v>
      </c>
      <c r="BE123" s="93">
        <f>IF(AND('NFR repository'!$H123=Params!$I$3,IFERROR(FIND(BE$1,'NFR repository'!$U123)&gt;0,FALSE)),'NFR repository'!$I123,0)</f>
        <v>0</v>
      </c>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row>
    <row r="124" spans="1:84" ht="30" x14ac:dyDescent="0.25">
      <c r="A124" s="2"/>
      <c r="B124" s="193" t="s">
        <v>457</v>
      </c>
      <c r="C124" s="194" t="s">
        <v>406</v>
      </c>
      <c r="D124" s="36" t="s">
        <v>137</v>
      </c>
      <c r="E124" s="36"/>
      <c r="F124" s="35" t="s">
        <v>317</v>
      </c>
      <c r="G124" s="51" t="s">
        <v>318</v>
      </c>
      <c r="H124" s="35" t="s">
        <v>472</v>
      </c>
      <c r="I124" s="72" t="s">
        <v>41</v>
      </c>
      <c r="J124" s="215"/>
      <c r="K124" s="215"/>
      <c r="L124" s="195"/>
      <c r="M124" s="51" t="s">
        <v>130</v>
      </c>
      <c r="N124" s="51" t="s">
        <v>139</v>
      </c>
      <c r="O124" s="51" t="s">
        <v>576</v>
      </c>
      <c r="P124" s="51" t="s">
        <v>577</v>
      </c>
      <c r="Q124" s="51" t="s">
        <v>156</v>
      </c>
      <c r="R124" s="51" t="s">
        <v>151</v>
      </c>
      <c r="S124" s="35" t="s">
        <v>283</v>
      </c>
      <c r="T124" s="35" t="s">
        <v>46</v>
      </c>
      <c r="U124" s="35" t="s">
        <v>717</v>
      </c>
      <c r="V124" s="38" t="s">
        <v>591</v>
      </c>
      <c r="W124" s="11"/>
      <c r="X124" s="11"/>
      <c r="Y124" s="11"/>
      <c r="Z124" s="11"/>
      <c r="AA124" s="11"/>
      <c r="AB124" s="11"/>
      <c r="AC124" s="11"/>
      <c r="AD124" s="11"/>
      <c r="AE124" s="11"/>
      <c r="AF124" s="11"/>
      <c r="AG124" s="11"/>
      <c r="AH124" s="11"/>
      <c r="AI124" s="11"/>
      <c r="AJ124" s="11"/>
      <c r="AK124" s="11" t="s">
        <v>128</v>
      </c>
      <c r="AL124" s="11"/>
      <c r="AM124" s="11"/>
      <c r="AN124" s="11"/>
      <c r="AO124" s="3" t="s">
        <v>128</v>
      </c>
      <c r="AP124" s="11">
        <v>8</v>
      </c>
      <c r="AQ124" s="11">
        <v>1</v>
      </c>
      <c r="AR124" s="2"/>
      <c r="AS124" s="92" t="e">
        <f ca="1">IF(AND('NFR repository'!H124=Params!$I$3,INDIRECT("'NFR repository'!L" &amp; ROW('NFR repository'!A124) &amp; "C" &amp; TEXT(24 + $AS$2,"0"),FALSE)&lt;&gt;""),'NFR repository'!I124,0)</f>
        <v>#REF!</v>
      </c>
      <c r="AT124" s="168" t="e">
        <f ca="1">IF(AND('NFR repository'!H124=Params!$I$3,INDIRECT("'NFR repository'!L" &amp; ROW('NFR repository'!R124) &amp; "C" &amp; TEXT(28 + $AT$2,"0"),FALSE)&lt;&gt;""),'NFR repository'!I124,0)</f>
        <v>#REF!</v>
      </c>
      <c r="AU124" s="168" t="e">
        <f ca="1">IF(AND('NFR repository'!H124=Params!$I$3,INDIRECT("'NFR repository'!L" &amp; ROW('NFR repository'!R124) &amp; "C" &amp; TEXT(32 + $AU$2,"0"),FALSE)&lt;&gt;""),'NFR repository'!I124,0)</f>
        <v>#REF!</v>
      </c>
      <c r="AV124" s="233" t="e">
        <f ca="1">IF(AND('NFR repository'!H124=Params!$I$3,INDIRECT("'NFR repository'!L" &amp; ROW('NFR repository'!R124) &amp; "C" &amp; TEXT(36 + $AV$2,"0"),FALSE)&lt;&gt;""),'NFR repository'!I124,0)</f>
        <v>#REF!</v>
      </c>
      <c r="AW124" s="92">
        <f>IF(AND('NFR repository'!$H124=Params!$I$3,IFERROR(FIND(AW$1,'NFR repository'!$U124)&gt;0,FALSE)),'NFR repository'!$I124,0)</f>
        <v>0</v>
      </c>
      <c r="AX124" s="231">
        <f>IF(AND('NFR repository'!$H124=Params!$I$3,Synthesis!$I$8&lt;&gt;Params!$B$17,IFERROR(FIND(AX$1,'NFR repository'!$U124)&gt;0,FALSE)),'NFR repository'!$I124,0)</f>
        <v>0</v>
      </c>
      <c r="AY124" s="231">
        <f>IF(AND('NFR repository'!$H124=Params!$I$3,IFERROR(FIND(AY$1,'NFR repository'!$U124)&gt;0,FALSE)),'NFR repository'!$I124,0)</f>
        <v>0</v>
      </c>
      <c r="AZ124" s="231">
        <f>IF(AND('NFR repository'!$H124=Params!$I$3,IFERROR(FIND(AZ$1,'NFR repository'!$U124)&gt;0,FALSE)),'NFR repository'!$I124,0)</f>
        <v>0</v>
      </c>
      <c r="BA124" s="231">
        <f>IF(AND('NFR repository'!$H124=Params!$I$3,IFERROR(FIND(BA$1,'NFR repository'!$U124)&gt;0,FALSE)),'NFR repository'!$I124,0)</f>
        <v>0</v>
      </c>
      <c r="BB124" s="231">
        <f>IF(AND('NFR repository'!$H124=Params!$I$3,IFERROR(FIND(BB$1,'NFR repository'!$U124)&gt;0,FALSE)),'NFR repository'!$I124,0)</f>
        <v>0</v>
      </c>
      <c r="BC124" s="231">
        <f>IF(AND('NFR repository'!$H124=Params!$I$3,IFERROR(FIND(BC$1,'NFR repository'!$U124)&gt;0,FALSE)),'NFR repository'!$I124,0)</f>
        <v>0</v>
      </c>
      <c r="BD124" s="231">
        <f>IF(AND('NFR repository'!$H124=Params!$I$3,IFERROR(FIND(BD$1,'NFR repository'!$U124)&gt;0,FALSE)),'NFR repository'!$I124,0)</f>
        <v>0</v>
      </c>
      <c r="BE124" s="93">
        <f>IF(AND('NFR repository'!$H124=Params!$I$3,IFERROR(FIND(BE$1,'NFR repository'!$U124)&gt;0,FALSE)),'NFR repository'!$I124,0)</f>
        <v>0</v>
      </c>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row>
    <row r="125" spans="1:84" ht="45" x14ac:dyDescent="0.25">
      <c r="A125" s="2"/>
      <c r="B125" s="193" t="s">
        <v>458</v>
      </c>
      <c r="C125" s="194" t="s">
        <v>407</v>
      </c>
      <c r="D125" s="36" t="s">
        <v>137</v>
      </c>
      <c r="E125" s="36"/>
      <c r="F125" s="35" t="s">
        <v>317</v>
      </c>
      <c r="G125" s="51" t="s">
        <v>318</v>
      </c>
      <c r="H125" s="35" t="s">
        <v>472</v>
      </c>
      <c r="I125" s="37" t="s">
        <v>41</v>
      </c>
      <c r="J125" s="215"/>
      <c r="K125" s="215"/>
      <c r="L125" s="195"/>
      <c r="M125" s="51" t="s">
        <v>130</v>
      </c>
      <c r="N125" s="51" t="s">
        <v>139</v>
      </c>
      <c r="O125" s="51" t="s">
        <v>576</v>
      </c>
      <c r="P125" s="51" t="s">
        <v>577</v>
      </c>
      <c r="Q125" s="51" t="s">
        <v>156</v>
      </c>
      <c r="R125" s="51" t="s">
        <v>151</v>
      </c>
      <c r="S125" s="35" t="s">
        <v>283</v>
      </c>
      <c r="T125" s="35" t="s">
        <v>46</v>
      </c>
      <c r="U125" s="35" t="s">
        <v>799</v>
      </c>
      <c r="V125" s="38" t="s">
        <v>591</v>
      </c>
      <c r="W125" s="11"/>
      <c r="X125" s="11"/>
      <c r="Y125" s="11"/>
      <c r="Z125" s="11"/>
      <c r="AA125" s="11"/>
      <c r="AB125" s="11"/>
      <c r="AC125" s="11"/>
      <c r="AD125" s="11"/>
      <c r="AE125" s="11"/>
      <c r="AF125" s="11"/>
      <c r="AG125" s="11"/>
      <c r="AH125" s="11"/>
      <c r="AI125" s="11"/>
      <c r="AJ125" s="11"/>
      <c r="AK125" s="11"/>
      <c r="AL125" s="11" t="s">
        <v>128</v>
      </c>
      <c r="AM125" s="11"/>
      <c r="AN125" s="11"/>
      <c r="AO125" s="3"/>
      <c r="AP125" s="11">
        <v>8</v>
      </c>
      <c r="AQ125" s="11">
        <v>2</v>
      </c>
      <c r="AR125" s="2"/>
      <c r="AS125" s="92" t="e">
        <f ca="1">IF(AND('NFR repository'!H125=Params!$I$3,INDIRECT("'NFR repository'!L" &amp; ROW('NFR repository'!A125) &amp; "C" &amp; TEXT(24 + $AS$2,"0"),FALSE)&lt;&gt;""),'NFR repository'!I125,0)</f>
        <v>#REF!</v>
      </c>
      <c r="AT125" s="168" t="e">
        <f ca="1">IF(AND('NFR repository'!H125=Params!$I$3,INDIRECT("'NFR repository'!L" &amp; ROW('NFR repository'!R125) &amp; "C" &amp; TEXT(28 + $AT$2,"0"),FALSE)&lt;&gt;""),'NFR repository'!I125,0)</f>
        <v>#REF!</v>
      </c>
      <c r="AU125" s="168" t="e">
        <f ca="1">IF(AND('NFR repository'!H125=Params!$I$3,INDIRECT("'NFR repository'!L" &amp; ROW('NFR repository'!R125) &amp; "C" &amp; TEXT(32 + $AU$2,"0"),FALSE)&lt;&gt;""),'NFR repository'!I125,0)</f>
        <v>#REF!</v>
      </c>
      <c r="AV125" s="233" t="e">
        <f ca="1">IF(AND('NFR repository'!H125=Params!$I$3,INDIRECT("'NFR repository'!L" &amp; ROW('NFR repository'!R125) &amp; "C" &amp; TEXT(36 + $AV$2,"0"),FALSE)&lt;&gt;""),'NFR repository'!I125,0)</f>
        <v>#REF!</v>
      </c>
      <c r="AW125" s="92">
        <f>IF(AND('NFR repository'!$H125=Params!$I$3,IFERROR(FIND(AW$1,'NFR repository'!$U125)&gt;0,FALSE)),'NFR repository'!$I125,0)</f>
        <v>0</v>
      </c>
      <c r="AX125" s="231">
        <f>IF(AND('NFR repository'!$H125=Params!$I$3,Synthesis!$I$8&lt;&gt;Params!$B$17,IFERROR(FIND(AX$1,'NFR repository'!$U125)&gt;0,FALSE)),'NFR repository'!$I125,0)</f>
        <v>0</v>
      </c>
      <c r="AY125" s="231">
        <f>IF(AND('NFR repository'!$H125=Params!$I$3,IFERROR(FIND(AY$1,'NFR repository'!$U125)&gt;0,FALSE)),'NFR repository'!$I125,0)</f>
        <v>0</v>
      </c>
      <c r="AZ125" s="231">
        <f>IF(AND('NFR repository'!$H125=Params!$I$3,IFERROR(FIND(AZ$1,'NFR repository'!$U125)&gt;0,FALSE)),'NFR repository'!$I125,0)</f>
        <v>0</v>
      </c>
      <c r="BA125" s="231">
        <f>IF(AND('NFR repository'!$H125=Params!$I$3,IFERROR(FIND(BA$1,'NFR repository'!$U125)&gt;0,FALSE)),'NFR repository'!$I125,0)</f>
        <v>0</v>
      </c>
      <c r="BB125" s="231">
        <f>IF(AND('NFR repository'!$H125=Params!$I$3,IFERROR(FIND(BB$1,'NFR repository'!$U125)&gt;0,FALSE)),'NFR repository'!$I125,0)</f>
        <v>0</v>
      </c>
      <c r="BC125" s="231">
        <f>IF(AND('NFR repository'!$H125=Params!$I$3,IFERROR(FIND(BC$1,'NFR repository'!$U125)&gt;0,FALSE)),'NFR repository'!$I125,0)</f>
        <v>0</v>
      </c>
      <c r="BD125" s="231">
        <f>IF(AND('NFR repository'!$H125=Params!$I$3,IFERROR(FIND(BD$1,'NFR repository'!$U125)&gt;0,FALSE)),'NFR repository'!$I125,0)</f>
        <v>0</v>
      </c>
      <c r="BE125" s="93">
        <f>IF(AND('NFR repository'!$H125=Params!$I$3,IFERROR(FIND(BE$1,'NFR repository'!$U125)&gt;0,FALSE)),'NFR repository'!$I125,0)</f>
        <v>0</v>
      </c>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row>
    <row r="126" spans="1:84" ht="30" x14ac:dyDescent="0.25">
      <c r="A126" s="2"/>
      <c r="B126" s="193" t="s">
        <v>250</v>
      </c>
      <c r="C126" s="194" t="s">
        <v>408</v>
      </c>
      <c r="D126" s="36" t="s">
        <v>137</v>
      </c>
      <c r="E126" s="36"/>
      <c r="F126" s="35" t="s">
        <v>583</v>
      </c>
      <c r="G126" s="78" t="s">
        <v>583</v>
      </c>
      <c r="H126" s="35" t="s">
        <v>472</v>
      </c>
      <c r="I126" s="72" t="s">
        <v>41</v>
      </c>
      <c r="J126" s="215"/>
      <c r="K126" s="215"/>
      <c r="L126" s="195"/>
      <c r="M126" s="51" t="s">
        <v>151</v>
      </c>
      <c r="N126" s="51" t="s">
        <v>139</v>
      </c>
      <c r="O126" s="51" t="s">
        <v>576</v>
      </c>
      <c r="P126" s="51" t="s">
        <v>577</v>
      </c>
      <c r="Q126" s="51" t="s">
        <v>156</v>
      </c>
      <c r="R126" s="51" t="s">
        <v>151</v>
      </c>
      <c r="S126" s="35" t="s">
        <v>283</v>
      </c>
      <c r="T126" s="35" t="s">
        <v>46</v>
      </c>
      <c r="U126" s="38" t="s">
        <v>717</v>
      </c>
      <c r="V126" s="38" t="s">
        <v>591</v>
      </c>
      <c r="W126" s="3"/>
      <c r="X126" s="3"/>
      <c r="Y126" s="3"/>
      <c r="Z126" s="3"/>
      <c r="AA126" s="3"/>
      <c r="AB126" s="3"/>
      <c r="AC126" s="3" t="s">
        <v>128</v>
      </c>
      <c r="AD126" s="3" t="s">
        <v>128</v>
      </c>
      <c r="AE126" s="3"/>
      <c r="AF126" s="3"/>
      <c r="AG126" s="3"/>
      <c r="AH126" s="3"/>
      <c r="AI126" s="3"/>
      <c r="AJ126" s="3"/>
      <c r="AK126" s="3" t="s">
        <v>128</v>
      </c>
      <c r="AL126" s="3" t="s">
        <v>128</v>
      </c>
      <c r="AM126" s="3"/>
      <c r="AN126" s="3"/>
      <c r="AO126" s="3" t="s">
        <v>128</v>
      </c>
      <c r="AP126" s="3"/>
      <c r="AQ126" s="3"/>
      <c r="AR126" s="2"/>
      <c r="AS126" s="92" t="e">
        <f ca="1">IF(AND('NFR repository'!H126=Params!$I$3,INDIRECT("'NFR repository'!L" &amp; ROW('NFR repository'!A126) &amp; "C" &amp; TEXT(24 + $AS$2,"0"),FALSE)&lt;&gt;""),'NFR repository'!I126,0)</f>
        <v>#REF!</v>
      </c>
      <c r="AT126" s="168" t="e">
        <f ca="1">IF(AND('NFR repository'!H126=Params!$I$3,INDIRECT("'NFR repository'!L" &amp; ROW('NFR repository'!R126) &amp; "C" &amp; TEXT(28 + $AT$2,"0"),FALSE)&lt;&gt;""),'NFR repository'!I126,0)</f>
        <v>#REF!</v>
      </c>
      <c r="AU126" s="168" t="e">
        <f ca="1">IF(AND('NFR repository'!H126=Params!$I$3,INDIRECT("'NFR repository'!L" &amp; ROW('NFR repository'!R126) &amp; "C" &amp; TEXT(32 + $AU$2,"0"),FALSE)&lt;&gt;""),'NFR repository'!I126,0)</f>
        <v>#REF!</v>
      </c>
      <c r="AV126" s="233" t="e">
        <f ca="1">IF(AND('NFR repository'!H126=Params!$I$3,INDIRECT("'NFR repository'!L" &amp; ROW('NFR repository'!R126) &amp; "C" &amp; TEXT(36 + $AV$2,"0"),FALSE)&lt;&gt;""),'NFR repository'!I126,0)</f>
        <v>#REF!</v>
      </c>
      <c r="AW126" s="92">
        <f>IF(AND('NFR repository'!$H126=Params!$I$3,IFERROR(FIND(AW$1,'NFR repository'!$U126)&gt;0,FALSE)),'NFR repository'!$I126,0)</f>
        <v>0</v>
      </c>
      <c r="AX126" s="231">
        <f>IF(AND('NFR repository'!$H126=Params!$I$3,Synthesis!$I$8&lt;&gt;Params!$B$17,IFERROR(FIND(AX$1,'NFR repository'!$U126)&gt;0,FALSE)),'NFR repository'!$I126,0)</f>
        <v>0</v>
      </c>
      <c r="AY126" s="231">
        <f>IF(AND('NFR repository'!$H126=Params!$I$3,IFERROR(FIND(AY$1,'NFR repository'!$U126)&gt;0,FALSE)),'NFR repository'!$I126,0)</f>
        <v>0</v>
      </c>
      <c r="AZ126" s="231">
        <f>IF(AND('NFR repository'!$H126=Params!$I$3,IFERROR(FIND(AZ$1,'NFR repository'!$U126)&gt;0,FALSE)),'NFR repository'!$I126,0)</f>
        <v>0</v>
      </c>
      <c r="BA126" s="231">
        <f>IF(AND('NFR repository'!$H126=Params!$I$3,IFERROR(FIND(BA$1,'NFR repository'!$U126)&gt;0,FALSE)),'NFR repository'!$I126,0)</f>
        <v>0</v>
      </c>
      <c r="BB126" s="231">
        <f>IF(AND('NFR repository'!$H126=Params!$I$3,IFERROR(FIND(BB$1,'NFR repository'!$U126)&gt;0,FALSE)),'NFR repository'!$I126,0)</f>
        <v>0</v>
      </c>
      <c r="BC126" s="231">
        <f>IF(AND('NFR repository'!$H126=Params!$I$3,IFERROR(FIND(BC$1,'NFR repository'!$U126)&gt;0,FALSE)),'NFR repository'!$I126,0)</f>
        <v>0</v>
      </c>
      <c r="BD126" s="231">
        <f>IF(AND('NFR repository'!$H126=Params!$I$3,IFERROR(FIND(BD$1,'NFR repository'!$U126)&gt;0,FALSE)),'NFR repository'!$I126,0)</f>
        <v>0</v>
      </c>
      <c r="BE126" s="93">
        <f>IF(AND('NFR repository'!$H126=Params!$I$3,IFERROR(FIND(BE$1,'NFR repository'!$U126)&gt;0,FALSE)),'NFR repository'!$I126,0)</f>
        <v>0</v>
      </c>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row>
    <row r="127" spans="1:84" ht="60" x14ac:dyDescent="0.25">
      <c r="A127" s="2"/>
      <c r="B127" s="210" t="s">
        <v>470</v>
      </c>
      <c r="C127" s="204" t="s">
        <v>409</v>
      </c>
      <c r="D127" s="36" t="s">
        <v>137</v>
      </c>
      <c r="E127" s="87" t="s">
        <v>498</v>
      </c>
      <c r="F127" s="35" t="s">
        <v>584</v>
      </c>
      <c r="G127" s="51" t="s">
        <v>747</v>
      </c>
      <c r="H127" s="35" t="s">
        <v>472</v>
      </c>
      <c r="I127" s="72" t="s">
        <v>41</v>
      </c>
      <c r="J127" s="215"/>
      <c r="K127" s="215"/>
      <c r="L127" s="195"/>
      <c r="M127" s="51" t="s">
        <v>130</v>
      </c>
      <c r="N127" s="51" t="s">
        <v>136</v>
      </c>
      <c r="O127" s="51" t="s">
        <v>576</v>
      </c>
      <c r="P127" s="51" t="s">
        <v>577</v>
      </c>
      <c r="Q127" s="51" t="s">
        <v>46</v>
      </c>
      <c r="R127" s="51" t="s">
        <v>46</v>
      </c>
      <c r="S127" s="35" t="s">
        <v>46</v>
      </c>
      <c r="T127" s="35" t="s">
        <v>46</v>
      </c>
      <c r="U127" s="38" t="s">
        <v>714</v>
      </c>
      <c r="V127" s="38" t="s">
        <v>11</v>
      </c>
      <c r="W127" s="3"/>
      <c r="X127" s="3"/>
      <c r="Y127" s="3"/>
      <c r="Z127" s="3"/>
      <c r="AA127" s="3"/>
      <c r="AB127" s="3"/>
      <c r="AC127" s="3" t="s">
        <v>128</v>
      </c>
      <c r="AD127" s="3" t="s">
        <v>128</v>
      </c>
      <c r="AE127" s="3"/>
      <c r="AF127" s="3"/>
      <c r="AG127" s="3"/>
      <c r="AH127" s="3"/>
      <c r="AI127" s="3"/>
      <c r="AJ127" s="3"/>
      <c r="AK127" s="3"/>
      <c r="AL127" s="3"/>
      <c r="AM127" s="3"/>
      <c r="AN127" s="3"/>
      <c r="AO127" s="3" t="s">
        <v>128</v>
      </c>
      <c r="AP127" s="3"/>
      <c r="AQ127" s="3"/>
      <c r="AR127" s="2"/>
      <c r="AS127" s="92" t="e">
        <f ca="1">IF(AND('NFR repository'!H127=Params!$I$3,INDIRECT("'NFR repository'!L" &amp; ROW('NFR repository'!A127) &amp; "C" &amp; TEXT(24 + $AS$2,"0"),FALSE)&lt;&gt;""),'NFR repository'!I127,0)</f>
        <v>#REF!</v>
      </c>
      <c r="AT127" s="168" t="e">
        <f ca="1">IF(AND('NFR repository'!H127=Params!$I$3,INDIRECT("'NFR repository'!L" &amp; ROW('NFR repository'!R127) &amp; "C" &amp; TEXT(28 + $AT$2,"0"),FALSE)&lt;&gt;""),'NFR repository'!I127,0)</f>
        <v>#REF!</v>
      </c>
      <c r="AU127" s="168" t="e">
        <f ca="1">IF(AND('NFR repository'!H127=Params!$I$3,INDIRECT("'NFR repository'!L" &amp; ROW('NFR repository'!R127) &amp; "C" &amp; TEXT(32 + $AU$2,"0"),FALSE)&lt;&gt;""),'NFR repository'!I127,0)</f>
        <v>#REF!</v>
      </c>
      <c r="AV127" s="233" t="e">
        <f ca="1">IF(AND('NFR repository'!H127=Params!$I$3,INDIRECT("'NFR repository'!L" &amp; ROW('NFR repository'!R127) &amp; "C" &amp; TEXT(36 + $AV$2,"0"),FALSE)&lt;&gt;""),'NFR repository'!I127,0)</f>
        <v>#REF!</v>
      </c>
      <c r="AW127" s="92">
        <f>IF(AND('NFR repository'!$H127=Params!$I$3,IFERROR(FIND(AW$1,'NFR repository'!$U127)&gt;0,FALSE)),'NFR repository'!$I127,0)</f>
        <v>0</v>
      </c>
      <c r="AX127" s="231">
        <f>IF(AND('NFR repository'!$H127=Params!$I$3,Synthesis!$I$8&lt;&gt;Params!$B$17,IFERROR(FIND(AX$1,'NFR repository'!$U127)&gt;0,FALSE)),'NFR repository'!$I127,0)</f>
        <v>0</v>
      </c>
      <c r="AY127" s="231">
        <f>IF(AND('NFR repository'!$H127=Params!$I$3,IFERROR(FIND(AY$1,'NFR repository'!$U127)&gt;0,FALSE)),'NFR repository'!$I127,0)</f>
        <v>0</v>
      </c>
      <c r="AZ127" s="231">
        <f>IF(AND('NFR repository'!$H127=Params!$I$3,IFERROR(FIND(AZ$1,'NFR repository'!$U127)&gt;0,FALSE)),'NFR repository'!$I127,0)</f>
        <v>0</v>
      </c>
      <c r="BA127" s="231">
        <f>IF(AND('NFR repository'!$H127=Params!$I$3,IFERROR(FIND(BA$1,'NFR repository'!$U127)&gt;0,FALSE)),'NFR repository'!$I127,0)</f>
        <v>0</v>
      </c>
      <c r="BB127" s="231">
        <f>IF(AND('NFR repository'!$H127=Params!$I$3,IFERROR(FIND(BB$1,'NFR repository'!$U127)&gt;0,FALSE)),'NFR repository'!$I127,0)</f>
        <v>0</v>
      </c>
      <c r="BC127" s="231">
        <f>IF(AND('NFR repository'!$H127=Params!$I$3,IFERROR(FIND(BC$1,'NFR repository'!$U127)&gt;0,FALSE)),'NFR repository'!$I127,0)</f>
        <v>0</v>
      </c>
      <c r="BD127" s="231">
        <f>IF(AND('NFR repository'!$H127=Params!$I$3,IFERROR(FIND(BD$1,'NFR repository'!$U127)&gt;0,FALSE)),'NFR repository'!$I127,0)</f>
        <v>0</v>
      </c>
      <c r="BE127" s="93">
        <f>IF(AND('NFR repository'!$H127=Params!$I$3,IFERROR(FIND(BE$1,'NFR repository'!$U127)&gt;0,FALSE)),'NFR repository'!$I127,0)</f>
        <v>0</v>
      </c>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row>
    <row r="128" spans="1:84" ht="45" x14ac:dyDescent="0.25">
      <c r="A128" s="2"/>
      <c r="B128" s="193" t="s">
        <v>471</v>
      </c>
      <c r="C128" s="194" t="s">
        <v>410</v>
      </c>
      <c r="D128" s="36" t="s">
        <v>137</v>
      </c>
      <c r="E128" s="36"/>
      <c r="F128" s="35" t="s">
        <v>584</v>
      </c>
      <c r="G128" s="51" t="s">
        <v>750</v>
      </c>
      <c r="H128" s="35" t="s">
        <v>472</v>
      </c>
      <c r="I128" s="72" t="s">
        <v>41</v>
      </c>
      <c r="J128" s="215"/>
      <c r="K128" s="215"/>
      <c r="L128" s="195"/>
      <c r="M128" s="51" t="s">
        <v>130</v>
      </c>
      <c r="N128" s="51" t="s">
        <v>136</v>
      </c>
      <c r="O128" s="51" t="s">
        <v>576</v>
      </c>
      <c r="P128" s="51" t="s">
        <v>577</v>
      </c>
      <c r="Q128" s="51" t="s">
        <v>46</v>
      </c>
      <c r="R128" s="51" t="s">
        <v>46</v>
      </c>
      <c r="S128" s="35" t="s">
        <v>46</v>
      </c>
      <c r="T128" s="35" t="s">
        <v>46</v>
      </c>
      <c r="U128" s="38" t="s">
        <v>714</v>
      </c>
      <c r="V128" s="38" t="s">
        <v>11</v>
      </c>
      <c r="W128" s="3"/>
      <c r="X128" s="3"/>
      <c r="Y128" s="3"/>
      <c r="Z128" s="3"/>
      <c r="AA128" s="11"/>
      <c r="AB128" s="11"/>
      <c r="AC128" s="11"/>
      <c r="AD128" s="11"/>
      <c r="AE128" s="11"/>
      <c r="AF128" s="11"/>
      <c r="AG128" s="11"/>
      <c r="AH128" s="11"/>
      <c r="AI128" s="11"/>
      <c r="AJ128" s="11"/>
      <c r="AK128" s="11" t="s">
        <v>128</v>
      </c>
      <c r="AL128" s="11" t="s">
        <v>128</v>
      </c>
      <c r="AM128" s="3"/>
      <c r="AN128" s="3"/>
      <c r="AO128" s="3" t="s">
        <v>128</v>
      </c>
      <c r="AP128" s="3"/>
      <c r="AQ128" s="3"/>
      <c r="AR128" s="2"/>
      <c r="AS128" s="92" t="e">
        <f ca="1">IF(AND('NFR repository'!H128=Params!$I$3,INDIRECT("'NFR repository'!L" &amp; ROW('NFR repository'!A128) &amp; "C" &amp; TEXT(24 + $AS$2,"0"),FALSE)&lt;&gt;""),'NFR repository'!I128,0)</f>
        <v>#REF!</v>
      </c>
      <c r="AT128" s="168" t="e">
        <f ca="1">IF(AND('NFR repository'!H128=Params!$I$3,INDIRECT("'NFR repository'!L" &amp; ROW('NFR repository'!R128) &amp; "C" &amp; TEXT(28 + $AT$2,"0"),FALSE)&lt;&gt;""),'NFR repository'!I128,0)</f>
        <v>#REF!</v>
      </c>
      <c r="AU128" s="168" t="e">
        <f ca="1">IF(AND('NFR repository'!H128=Params!$I$3,INDIRECT("'NFR repository'!L" &amp; ROW('NFR repository'!R128) &amp; "C" &amp; TEXT(32 + $AU$2,"0"),FALSE)&lt;&gt;""),'NFR repository'!I128,0)</f>
        <v>#REF!</v>
      </c>
      <c r="AV128" s="233" t="e">
        <f ca="1">IF(AND('NFR repository'!H128=Params!$I$3,INDIRECT("'NFR repository'!L" &amp; ROW('NFR repository'!R128) &amp; "C" &amp; TEXT(36 + $AV$2,"0"),FALSE)&lt;&gt;""),'NFR repository'!I128,0)</f>
        <v>#REF!</v>
      </c>
      <c r="AW128" s="92">
        <f>IF(AND('NFR repository'!$H128=Params!$I$3,IFERROR(FIND(AW$1,'NFR repository'!$U128)&gt;0,FALSE)),'NFR repository'!$I128,0)</f>
        <v>0</v>
      </c>
      <c r="AX128" s="231">
        <f>IF(AND('NFR repository'!$H128=Params!$I$3,Synthesis!$I$8&lt;&gt;Params!$B$17,IFERROR(FIND(AX$1,'NFR repository'!$U128)&gt;0,FALSE)),'NFR repository'!$I128,0)</f>
        <v>0</v>
      </c>
      <c r="AY128" s="231">
        <f>IF(AND('NFR repository'!$H128=Params!$I$3,IFERROR(FIND(AY$1,'NFR repository'!$U128)&gt;0,FALSE)),'NFR repository'!$I128,0)</f>
        <v>0</v>
      </c>
      <c r="AZ128" s="231">
        <f>IF(AND('NFR repository'!$H128=Params!$I$3,IFERROR(FIND(AZ$1,'NFR repository'!$U128)&gt;0,FALSE)),'NFR repository'!$I128,0)</f>
        <v>0</v>
      </c>
      <c r="BA128" s="231">
        <f>IF(AND('NFR repository'!$H128=Params!$I$3,IFERROR(FIND(BA$1,'NFR repository'!$U128)&gt;0,FALSE)),'NFR repository'!$I128,0)</f>
        <v>0</v>
      </c>
      <c r="BB128" s="231">
        <f>IF(AND('NFR repository'!$H128=Params!$I$3,IFERROR(FIND(BB$1,'NFR repository'!$U128)&gt;0,FALSE)),'NFR repository'!$I128,0)</f>
        <v>0</v>
      </c>
      <c r="BC128" s="231">
        <f>IF(AND('NFR repository'!$H128=Params!$I$3,IFERROR(FIND(BC$1,'NFR repository'!$U128)&gt;0,FALSE)),'NFR repository'!$I128,0)</f>
        <v>0</v>
      </c>
      <c r="BD128" s="231">
        <f>IF(AND('NFR repository'!$H128=Params!$I$3,IFERROR(FIND(BD$1,'NFR repository'!$U128)&gt;0,FALSE)),'NFR repository'!$I128,0)</f>
        <v>0</v>
      </c>
      <c r="BE128" s="93">
        <f>IF(AND('NFR repository'!$H128=Params!$I$3,IFERROR(FIND(BE$1,'NFR repository'!$U128)&gt;0,FALSE)),'NFR repository'!$I128,0)</f>
        <v>0</v>
      </c>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row>
    <row r="129" spans="1:84" ht="45" x14ac:dyDescent="0.25">
      <c r="A129" s="2"/>
      <c r="B129" s="210" t="s">
        <v>725</v>
      </c>
      <c r="C129" s="204" t="s">
        <v>736</v>
      </c>
      <c r="D129" s="87" t="s">
        <v>723</v>
      </c>
      <c r="E129" s="87"/>
      <c r="F129" s="38" t="s">
        <v>584</v>
      </c>
      <c r="G129" s="78" t="s">
        <v>741</v>
      </c>
      <c r="H129" s="35" t="s">
        <v>472</v>
      </c>
      <c r="I129" s="72" t="s">
        <v>41</v>
      </c>
      <c r="J129" s="228"/>
      <c r="K129" s="228"/>
      <c r="L129" s="201"/>
      <c r="M129" s="78" t="s">
        <v>130</v>
      </c>
      <c r="N129" s="78" t="s">
        <v>308</v>
      </c>
      <c r="O129" s="78" t="s">
        <v>576</v>
      </c>
      <c r="P129" s="78" t="s">
        <v>576</v>
      </c>
      <c r="Q129" s="78" t="s">
        <v>46</v>
      </c>
      <c r="R129" s="78" t="s">
        <v>46</v>
      </c>
      <c r="S129" s="38" t="s">
        <v>46</v>
      </c>
      <c r="T129" s="38" t="s">
        <v>46</v>
      </c>
      <c r="U129" s="38" t="s">
        <v>11</v>
      </c>
      <c r="V129" s="38" t="s">
        <v>11</v>
      </c>
      <c r="W129" s="11"/>
      <c r="X129" s="11"/>
      <c r="Y129" s="11"/>
      <c r="Z129" s="11"/>
      <c r="AA129" s="11"/>
      <c r="AB129" s="11" t="s">
        <v>128</v>
      </c>
      <c r="AC129" s="11" t="s">
        <v>128</v>
      </c>
      <c r="AD129" s="11" t="s">
        <v>128</v>
      </c>
      <c r="AE129" s="11"/>
      <c r="AF129" s="11"/>
      <c r="AG129" s="11"/>
      <c r="AH129" s="11"/>
      <c r="AI129" s="11"/>
      <c r="AJ129" s="11"/>
      <c r="AK129" s="11"/>
      <c r="AL129" s="11"/>
      <c r="AM129" s="11"/>
      <c r="AN129" s="11"/>
      <c r="AO129" s="11"/>
      <c r="AP129" s="11"/>
      <c r="AQ129" s="11"/>
      <c r="AR129" s="2"/>
      <c r="AS129" s="92" t="e">
        <f ca="1">IF(AND('NFR repository'!H129=Params!$I$3,INDIRECT("'NFR repository'!L" &amp; ROW('NFR repository'!A129) &amp; "C" &amp; TEXT(24 + $AS$2,"0"),FALSE)&lt;&gt;""),'NFR repository'!I129,0)</f>
        <v>#REF!</v>
      </c>
      <c r="AT129" s="224" t="e">
        <f ca="1">IF(AND('NFR repository'!H129=Params!$I$3,INDIRECT("'NFR repository'!L" &amp; ROW('NFR repository'!R129) &amp; "C" &amp; TEXT(28 + $AT$2,"0"),FALSE)&lt;&gt;""),'NFR repository'!I129,0)</f>
        <v>#REF!</v>
      </c>
      <c r="AU129" s="224" t="e">
        <f ca="1">IF(AND('NFR repository'!H129=Params!$I$3,INDIRECT("'NFR repository'!L" &amp; ROW('NFR repository'!R129) &amp; "C" &amp; TEXT(32 + $AU$2,"0"),FALSE)&lt;&gt;""),'NFR repository'!I129,0)</f>
        <v>#REF!</v>
      </c>
      <c r="AV129" s="233" t="e">
        <f ca="1">IF(AND('NFR repository'!H129=Params!$I$3,INDIRECT("'NFR repository'!L" &amp; ROW('NFR repository'!R129) &amp; "C" &amp; TEXT(36 + $AV$2,"0"),FALSE)&lt;&gt;""),'NFR repository'!I129,0)</f>
        <v>#REF!</v>
      </c>
      <c r="AW129" s="92">
        <f>IF(AND('NFR repository'!$H129=Params!$I$3,IFERROR(FIND(AW$1,'NFR repository'!$U129)&gt;0,FALSE)),'NFR repository'!$I129,0)</f>
        <v>0</v>
      </c>
      <c r="AX129" s="231">
        <f>IF(AND('NFR repository'!$H129=Params!$I$3,Synthesis!$I$8&lt;&gt;Params!$B$17,IFERROR(FIND(AX$1,'NFR repository'!$U129)&gt;0,FALSE)),'NFR repository'!$I129,0)</f>
        <v>0</v>
      </c>
      <c r="AY129" s="231">
        <f>IF(AND('NFR repository'!$H129=Params!$I$3,IFERROR(FIND(AY$1,'NFR repository'!$U129)&gt;0,FALSE)),'NFR repository'!$I129,0)</f>
        <v>0</v>
      </c>
      <c r="AZ129" s="231">
        <f>IF(AND('NFR repository'!$H129=Params!$I$3,IFERROR(FIND(AZ$1,'NFR repository'!$U129)&gt;0,FALSE)),'NFR repository'!$I129,0)</f>
        <v>0</v>
      </c>
      <c r="BA129" s="231">
        <f>IF(AND('NFR repository'!$H129=Params!$I$3,IFERROR(FIND(BA$1,'NFR repository'!$U129)&gt;0,FALSE)),'NFR repository'!$I129,0)</f>
        <v>0</v>
      </c>
      <c r="BB129" s="231">
        <f>IF(AND('NFR repository'!$H129=Params!$I$3,IFERROR(FIND(BB$1,'NFR repository'!$U129)&gt;0,FALSE)),'NFR repository'!$I129,0)</f>
        <v>0</v>
      </c>
      <c r="BC129" s="231">
        <f>IF(AND('NFR repository'!$H129=Params!$I$3,IFERROR(FIND(BC$1,'NFR repository'!$U129)&gt;0,FALSE)),'NFR repository'!$I129,0)</f>
        <v>0</v>
      </c>
      <c r="BD129" s="231">
        <f>IF(AND('NFR repository'!$H129=Params!$I$3,IFERROR(FIND(BD$1,'NFR repository'!$U129)&gt;0,FALSE)),'NFR repository'!$I129,0)</f>
        <v>0</v>
      </c>
      <c r="BE129" s="93">
        <f>IF(AND('NFR repository'!$H129=Params!$I$3,IFERROR(FIND(BE$1,'NFR repository'!$U129)&gt;0,FALSE)),'NFR repository'!$I129,0)</f>
        <v>0</v>
      </c>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row>
    <row r="130" spans="1:84" ht="30" x14ac:dyDescent="0.25">
      <c r="A130" s="2"/>
      <c r="B130" s="210" t="s">
        <v>726</v>
      </c>
      <c r="C130" s="204" t="s">
        <v>740</v>
      </c>
      <c r="D130" s="87" t="s">
        <v>753</v>
      </c>
      <c r="E130" s="87"/>
      <c r="F130" s="38" t="s">
        <v>583</v>
      </c>
      <c r="G130" s="78" t="s">
        <v>751</v>
      </c>
      <c r="H130" s="35" t="s">
        <v>472</v>
      </c>
      <c r="I130" s="37" t="s">
        <v>41</v>
      </c>
      <c r="J130" s="228"/>
      <c r="K130" s="228"/>
      <c r="L130" s="201"/>
      <c r="M130" s="78" t="s">
        <v>130</v>
      </c>
      <c r="N130" s="78" t="s">
        <v>170</v>
      </c>
      <c r="O130" s="78" t="s">
        <v>576</v>
      </c>
      <c r="P130" s="38" t="s">
        <v>577</v>
      </c>
      <c r="Q130" s="78" t="s">
        <v>156</v>
      </c>
      <c r="R130" s="78" t="s">
        <v>151</v>
      </c>
      <c r="S130" s="38" t="s">
        <v>752</v>
      </c>
      <c r="T130" s="38" t="s">
        <v>46</v>
      </c>
      <c r="U130" s="38" t="s">
        <v>11</v>
      </c>
      <c r="V130" s="38" t="s">
        <v>11</v>
      </c>
      <c r="W130" s="11"/>
      <c r="X130" s="11"/>
      <c r="Y130" s="11"/>
      <c r="Z130" s="11"/>
      <c r="AA130" s="11"/>
      <c r="AB130" s="11"/>
      <c r="AC130" s="11"/>
      <c r="AD130" s="11" t="s">
        <v>128</v>
      </c>
      <c r="AE130" s="11"/>
      <c r="AF130" s="11"/>
      <c r="AG130" s="11"/>
      <c r="AH130" s="11"/>
      <c r="AI130" s="11"/>
      <c r="AJ130" s="11"/>
      <c r="AK130" s="11"/>
      <c r="AL130" s="11"/>
      <c r="AM130" s="11"/>
      <c r="AN130" s="11"/>
      <c r="AO130" s="11"/>
      <c r="AP130" s="11"/>
      <c r="AQ130" s="11"/>
      <c r="AR130" s="2"/>
      <c r="AS130" s="92" t="e">
        <f ca="1">IF(AND('NFR repository'!H130=Params!$I$3,INDIRECT("'NFR repository'!L" &amp; ROW('NFR repository'!A130) &amp; "C" &amp; TEXT(24 + $AS$2,"0"),FALSE)&lt;&gt;""),'NFR repository'!I130,0)</f>
        <v>#REF!</v>
      </c>
      <c r="AT130" s="224" t="e">
        <f ca="1">IF(AND('NFR repository'!H130=Params!$I$3,INDIRECT("'NFR repository'!L" &amp; ROW('NFR repository'!R130) &amp; "C" &amp; TEXT(28 + $AT$2,"0"),FALSE)&lt;&gt;""),'NFR repository'!I130,0)</f>
        <v>#REF!</v>
      </c>
      <c r="AU130" s="224" t="e">
        <f ca="1">IF(AND('NFR repository'!H130=Params!$I$3,INDIRECT("'NFR repository'!L" &amp; ROW('NFR repository'!R130) &amp; "C" &amp; TEXT(32 + $AU$2,"0"),FALSE)&lt;&gt;""),'NFR repository'!I130,0)</f>
        <v>#REF!</v>
      </c>
      <c r="AV130" s="233" t="e">
        <f ca="1">IF(AND('NFR repository'!H130=Params!$I$3,INDIRECT("'NFR repository'!L" &amp; ROW('NFR repository'!R130) &amp; "C" &amp; TEXT(36 + $AV$2,"0"),FALSE)&lt;&gt;""),'NFR repository'!I130,0)</f>
        <v>#REF!</v>
      </c>
      <c r="AW130" s="92">
        <f>IF(AND('NFR repository'!$H130=Params!$I$3,IFERROR(FIND(AW$1,'NFR repository'!$U130)&gt;0,FALSE)),'NFR repository'!$I130,0)</f>
        <v>0</v>
      </c>
      <c r="AX130" s="231">
        <f>IF(AND('NFR repository'!$H130=Params!$I$3,Synthesis!$I$8&lt;&gt;Params!$B$17,IFERROR(FIND(AX$1,'NFR repository'!$U130)&gt;0,FALSE)),'NFR repository'!$I130,0)</f>
        <v>0</v>
      </c>
      <c r="AY130" s="231">
        <f>IF(AND('NFR repository'!$H130=Params!$I$3,IFERROR(FIND(AY$1,'NFR repository'!$U130)&gt;0,FALSE)),'NFR repository'!$I130,0)</f>
        <v>0</v>
      </c>
      <c r="AZ130" s="231">
        <f>IF(AND('NFR repository'!$H130=Params!$I$3,IFERROR(FIND(AZ$1,'NFR repository'!$U130)&gt;0,FALSE)),'NFR repository'!$I130,0)</f>
        <v>0</v>
      </c>
      <c r="BA130" s="231">
        <f>IF(AND('NFR repository'!$H130=Params!$I$3,IFERROR(FIND(BA$1,'NFR repository'!$U130)&gt;0,FALSE)),'NFR repository'!$I130,0)</f>
        <v>0</v>
      </c>
      <c r="BB130" s="231">
        <f>IF(AND('NFR repository'!$H130=Params!$I$3,IFERROR(FIND(BB$1,'NFR repository'!$U130)&gt;0,FALSE)),'NFR repository'!$I130,0)</f>
        <v>0</v>
      </c>
      <c r="BC130" s="231">
        <f>IF(AND('NFR repository'!$H130=Params!$I$3,IFERROR(FIND(BC$1,'NFR repository'!$U130)&gt;0,FALSE)),'NFR repository'!$I130,0)</f>
        <v>0</v>
      </c>
      <c r="BD130" s="231">
        <f>IF(AND('NFR repository'!$H130=Params!$I$3,IFERROR(FIND(BD$1,'NFR repository'!$U130)&gt;0,FALSE)),'NFR repository'!$I130,0)</f>
        <v>0</v>
      </c>
      <c r="BE130" s="93">
        <f>IF(AND('NFR repository'!$H130=Params!$I$3,IFERROR(FIND(BE$1,'NFR repository'!$U130)&gt;0,FALSE)),'NFR repository'!$I130,0)</f>
        <v>0</v>
      </c>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row>
    <row r="131" spans="1:84" ht="15.75" x14ac:dyDescent="0.25">
      <c r="A131" s="2"/>
      <c r="B131" s="52" t="s">
        <v>85</v>
      </c>
      <c r="C131" s="39" t="s">
        <v>82</v>
      </c>
      <c r="D131" s="88"/>
      <c r="E131" s="88"/>
      <c r="F131" s="41"/>
      <c r="G131" s="77"/>
      <c r="H131" s="41"/>
      <c r="I131" s="50"/>
      <c r="J131" s="218"/>
      <c r="K131" s="218"/>
      <c r="L131" s="205"/>
      <c r="M131" s="77"/>
      <c r="N131" s="77"/>
      <c r="O131" s="77"/>
      <c r="P131" s="77"/>
      <c r="Q131" s="77"/>
      <c r="R131" s="77"/>
      <c r="S131" s="41"/>
      <c r="T131" s="41"/>
      <c r="U131" s="41"/>
      <c r="V131" s="41"/>
      <c r="W131" s="4"/>
      <c r="X131" s="4"/>
      <c r="Y131" s="4"/>
      <c r="Z131" s="4"/>
      <c r="AA131" s="4"/>
      <c r="AB131" s="4"/>
      <c r="AC131" s="4"/>
      <c r="AD131" s="4"/>
      <c r="AE131" s="4"/>
      <c r="AF131" s="4"/>
      <c r="AG131" s="4"/>
      <c r="AH131" s="4"/>
      <c r="AI131" s="4"/>
      <c r="AJ131" s="4"/>
      <c r="AK131" s="4"/>
      <c r="AL131" s="4"/>
      <c r="AM131" s="4"/>
      <c r="AN131" s="4"/>
      <c r="AO131" s="4"/>
      <c r="AP131" s="4"/>
      <c r="AQ131" s="4"/>
      <c r="AR131" s="2"/>
      <c r="AS131" s="92" t="e">
        <f ca="1">IF(AND('NFR repository'!H131=Params!$I$3,INDIRECT("'NFR repository'!L" &amp; ROW('NFR repository'!A131) &amp; "C" &amp; TEXT(24 + $AS$2,"0"),FALSE)&lt;&gt;""),'NFR repository'!I131,0)</f>
        <v>#REF!</v>
      </c>
      <c r="AT131" s="168" t="e">
        <f ca="1">IF(AND('NFR repository'!H131=Params!$I$3,INDIRECT("'NFR repository'!L" &amp; ROW('NFR repository'!R131) &amp; "C" &amp; TEXT(28 + $AT$2,"0"),FALSE)&lt;&gt;""),'NFR repository'!I131,0)</f>
        <v>#REF!</v>
      </c>
      <c r="AU131" s="168" t="e">
        <f ca="1">IF(AND('NFR repository'!H131=Params!$I$3,INDIRECT("'NFR repository'!L" &amp; ROW('NFR repository'!R131) &amp; "C" &amp; TEXT(32 + $AU$2,"0"),FALSE)&lt;&gt;""),'NFR repository'!I131,0)</f>
        <v>#REF!</v>
      </c>
      <c r="AV131" s="233" t="e">
        <f ca="1">IF(AND('NFR repository'!H131=Params!$I$3,INDIRECT("'NFR repository'!L" &amp; ROW('NFR repository'!R131) &amp; "C" &amp; TEXT(36 + $AV$2,"0"),FALSE)&lt;&gt;""),'NFR repository'!I131,0)</f>
        <v>#REF!</v>
      </c>
      <c r="AW131" s="92">
        <f>IF(AND('NFR repository'!$H131=Params!$I$3,IFERROR(FIND(AW$1,'NFR repository'!$U131)&gt;0,FALSE)),'NFR repository'!$I131,0)</f>
        <v>0</v>
      </c>
      <c r="AX131" s="231">
        <f>IF(AND('NFR repository'!$H131=Params!$I$3,Synthesis!$I$8&lt;&gt;Params!$B$17,IFERROR(FIND(AX$1,'NFR repository'!$U131)&gt;0,FALSE)),'NFR repository'!$I131,0)</f>
        <v>0</v>
      </c>
      <c r="AY131" s="231">
        <f>IF(AND('NFR repository'!$H131=Params!$I$3,IFERROR(FIND(AY$1,'NFR repository'!$U131)&gt;0,FALSE)),'NFR repository'!$I131,0)</f>
        <v>0</v>
      </c>
      <c r="AZ131" s="231">
        <f>IF(AND('NFR repository'!$H131=Params!$I$3,IFERROR(FIND(AZ$1,'NFR repository'!$U131)&gt;0,FALSE)),'NFR repository'!$I131,0)</f>
        <v>0</v>
      </c>
      <c r="BA131" s="231">
        <f>IF(AND('NFR repository'!$H131=Params!$I$3,IFERROR(FIND(BA$1,'NFR repository'!$U131)&gt;0,FALSE)),'NFR repository'!$I131,0)</f>
        <v>0</v>
      </c>
      <c r="BB131" s="231">
        <f>IF(AND('NFR repository'!$H131=Params!$I$3,IFERROR(FIND(BB$1,'NFR repository'!$U131)&gt;0,FALSE)),'NFR repository'!$I131,0)</f>
        <v>0</v>
      </c>
      <c r="BC131" s="231">
        <f>IF(AND('NFR repository'!$H131=Params!$I$3,IFERROR(FIND(BC$1,'NFR repository'!$U131)&gt;0,FALSE)),'NFR repository'!$I131,0)</f>
        <v>0</v>
      </c>
      <c r="BD131" s="231">
        <f>IF(AND('NFR repository'!$H131=Params!$I$3,IFERROR(FIND(BD$1,'NFR repository'!$U131)&gt;0,FALSE)),'NFR repository'!$I131,0)</f>
        <v>0</v>
      </c>
      <c r="BE131" s="93">
        <f>IF(AND('NFR repository'!$H131=Params!$I$3,IFERROR(FIND(BE$1,'NFR repository'!$U131)&gt;0,FALSE)),'NFR repository'!$I131,0)</f>
        <v>0</v>
      </c>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row>
    <row r="132" spans="1:84" ht="45" x14ac:dyDescent="0.25">
      <c r="A132" s="2"/>
      <c r="B132" s="193" t="s">
        <v>327</v>
      </c>
      <c r="C132" s="194" t="s">
        <v>411</v>
      </c>
      <c r="D132" s="36" t="s">
        <v>137</v>
      </c>
      <c r="E132" s="36"/>
      <c r="F132" s="35" t="s">
        <v>323</v>
      </c>
      <c r="G132" s="78" t="s">
        <v>583</v>
      </c>
      <c r="H132" s="35" t="s">
        <v>472</v>
      </c>
      <c r="I132" s="72" t="s">
        <v>41</v>
      </c>
      <c r="J132" s="215"/>
      <c r="K132" s="215"/>
      <c r="L132" s="195"/>
      <c r="M132" s="51" t="s">
        <v>130</v>
      </c>
      <c r="N132" s="51" t="s">
        <v>139</v>
      </c>
      <c r="O132" s="51" t="s">
        <v>576</v>
      </c>
      <c r="P132" s="51" t="s">
        <v>577</v>
      </c>
      <c r="Q132" s="51" t="s">
        <v>46</v>
      </c>
      <c r="R132" s="51" t="s">
        <v>46</v>
      </c>
      <c r="S132" s="35" t="s">
        <v>46</v>
      </c>
      <c r="T132" s="35" t="s">
        <v>46</v>
      </c>
      <c r="U132" s="38" t="s">
        <v>714</v>
      </c>
      <c r="V132" s="38" t="s">
        <v>591</v>
      </c>
      <c r="W132" s="3"/>
      <c r="X132" s="3"/>
      <c r="Y132" s="3"/>
      <c r="Z132" s="3"/>
      <c r="AA132" s="3"/>
      <c r="AB132" s="3"/>
      <c r="AC132" s="3"/>
      <c r="AD132" s="3"/>
      <c r="AE132" s="3"/>
      <c r="AF132" s="3"/>
      <c r="AG132" s="3"/>
      <c r="AH132" s="3"/>
      <c r="AI132" s="3"/>
      <c r="AJ132" s="11"/>
      <c r="AK132" s="3" t="s">
        <v>128</v>
      </c>
      <c r="AL132" s="3" t="s">
        <v>128</v>
      </c>
      <c r="AM132" s="3"/>
      <c r="AN132" s="3"/>
      <c r="AO132" s="3" t="s">
        <v>128</v>
      </c>
      <c r="AP132" s="3"/>
      <c r="AQ132" s="3"/>
      <c r="AR132" s="2"/>
      <c r="AS132" s="92" t="e">
        <f ca="1">IF(AND('NFR repository'!H132=Params!$I$3,INDIRECT("'NFR repository'!L" &amp; ROW('NFR repository'!A132) &amp; "C" &amp; TEXT(24 + $AS$2,"0"),FALSE)&lt;&gt;""),'NFR repository'!I132,0)</f>
        <v>#REF!</v>
      </c>
      <c r="AT132" s="168" t="e">
        <f ca="1">IF(AND('NFR repository'!H132=Params!$I$3,INDIRECT("'NFR repository'!L" &amp; ROW('NFR repository'!R132) &amp; "C" &amp; TEXT(28 + $AT$2,"0"),FALSE)&lt;&gt;""),'NFR repository'!I132,0)</f>
        <v>#REF!</v>
      </c>
      <c r="AU132" s="168" t="e">
        <f ca="1">IF(AND('NFR repository'!H132=Params!$I$3,INDIRECT("'NFR repository'!L" &amp; ROW('NFR repository'!R132) &amp; "C" &amp; TEXT(32 + $AU$2,"0"),FALSE)&lt;&gt;""),'NFR repository'!I132,0)</f>
        <v>#REF!</v>
      </c>
      <c r="AV132" s="233" t="e">
        <f ca="1">IF(AND('NFR repository'!H132=Params!$I$3,INDIRECT("'NFR repository'!L" &amp; ROW('NFR repository'!R132) &amp; "C" &amp; TEXT(36 + $AV$2,"0"),FALSE)&lt;&gt;""),'NFR repository'!I132,0)</f>
        <v>#REF!</v>
      </c>
      <c r="AW132" s="92">
        <f>IF(AND('NFR repository'!$H132=Params!$I$3,IFERROR(FIND(AW$1,'NFR repository'!$U132)&gt;0,FALSE)),'NFR repository'!$I132,0)</f>
        <v>0</v>
      </c>
      <c r="AX132" s="231">
        <f>IF(AND('NFR repository'!$H132=Params!$I$3,Synthesis!$I$8&lt;&gt;Params!$B$17,IFERROR(FIND(AX$1,'NFR repository'!$U132)&gt;0,FALSE)),'NFR repository'!$I132,0)</f>
        <v>0</v>
      </c>
      <c r="AY132" s="231">
        <f>IF(AND('NFR repository'!$H132=Params!$I$3,IFERROR(FIND(AY$1,'NFR repository'!$U132)&gt;0,FALSE)),'NFR repository'!$I132,0)</f>
        <v>0</v>
      </c>
      <c r="AZ132" s="231">
        <f>IF(AND('NFR repository'!$H132=Params!$I$3,IFERROR(FIND(AZ$1,'NFR repository'!$U132)&gt;0,FALSE)),'NFR repository'!$I132,0)</f>
        <v>0</v>
      </c>
      <c r="BA132" s="231">
        <f>IF(AND('NFR repository'!$H132=Params!$I$3,IFERROR(FIND(BA$1,'NFR repository'!$U132)&gt;0,FALSE)),'NFR repository'!$I132,0)</f>
        <v>0</v>
      </c>
      <c r="BB132" s="231">
        <f>IF(AND('NFR repository'!$H132=Params!$I$3,IFERROR(FIND(BB$1,'NFR repository'!$U132)&gt;0,FALSE)),'NFR repository'!$I132,0)</f>
        <v>0</v>
      </c>
      <c r="BC132" s="231">
        <f>IF(AND('NFR repository'!$H132=Params!$I$3,IFERROR(FIND(BC$1,'NFR repository'!$U132)&gt;0,FALSE)),'NFR repository'!$I132,0)</f>
        <v>0</v>
      </c>
      <c r="BD132" s="231">
        <f>IF(AND('NFR repository'!$H132=Params!$I$3,IFERROR(FIND(BD$1,'NFR repository'!$U132)&gt;0,FALSE)),'NFR repository'!$I132,0)</f>
        <v>0</v>
      </c>
      <c r="BE132" s="93">
        <f>IF(AND('NFR repository'!$H132=Params!$I$3,IFERROR(FIND(BE$1,'NFR repository'!$U132)&gt;0,FALSE)),'NFR repository'!$I132,0)</f>
        <v>0</v>
      </c>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row>
    <row r="133" spans="1:84" ht="45" x14ac:dyDescent="0.25">
      <c r="A133" s="2"/>
      <c r="B133" s="210" t="s">
        <v>590</v>
      </c>
      <c r="C133" s="194" t="s">
        <v>737</v>
      </c>
      <c r="D133" s="87" t="s">
        <v>757</v>
      </c>
      <c r="E133" s="87"/>
      <c r="F133" s="38" t="s">
        <v>758</v>
      </c>
      <c r="G133" s="78" t="s">
        <v>583</v>
      </c>
      <c r="H133" s="35" t="s">
        <v>472</v>
      </c>
      <c r="I133" s="72" t="s">
        <v>41</v>
      </c>
      <c r="J133" s="228"/>
      <c r="K133" s="228"/>
      <c r="L133" s="201"/>
      <c r="M133" s="78" t="s">
        <v>558</v>
      </c>
      <c r="N133" s="78" t="s">
        <v>759</v>
      </c>
      <c r="O133" s="78" t="s">
        <v>576</v>
      </c>
      <c r="P133" s="78" t="s">
        <v>577</v>
      </c>
      <c r="Q133" s="78" t="s">
        <v>46</v>
      </c>
      <c r="R133" s="78" t="s">
        <v>46</v>
      </c>
      <c r="S133" s="38" t="s">
        <v>46</v>
      </c>
      <c r="T133" s="38" t="s">
        <v>46</v>
      </c>
      <c r="U133" s="38" t="s">
        <v>11</v>
      </c>
      <c r="V133" s="38" t="s">
        <v>11</v>
      </c>
      <c r="W133" s="11"/>
      <c r="X133" s="11"/>
      <c r="Y133" s="11"/>
      <c r="Z133" s="11"/>
      <c r="AA133" s="11"/>
      <c r="AB133" s="11"/>
      <c r="AC133" s="11"/>
      <c r="AD133" s="11"/>
      <c r="AE133" s="11"/>
      <c r="AF133" s="11"/>
      <c r="AG133" s="11"/>
      <c r="AH133" s="11"/>
      <c r="AI133" s="11"/>
      <c r="AJ133" s="11" t="s">
        <v>128</v>
      </c>
      <c r="AK133" s="11" t="s">
        <v>128</v>
      </c>
      <c r="AL133" s="11" t="s">
        <v>128</v>
      </c>
      <c r="AM133" s="11"/>
      <c r="AN133" s="11"/>
      <c r="AO133" s="11"/>
      <c r="AP133" s="11"/>
      <c r="AQ133" s="11"/>
      <c r="AR133" s="2"/>
      <c r="AS133" s="92" t="e">
        <f ca="1">IF(AND('NFR repository'!H133=Params!$I$3,INDIRECT("'NFR repository'!L" &amp; ROW('NFR repository'!A133) &amp; "C" &amp; TEXT(24 + $AS$2,"0"),FALSE)&lt;&gt;""),'NFR repository'!I133,0)</f>
        <v>#REF!</v>
      </c>
      <c r="AT133" s="168" t="e">
        <f ca="1">IF(AND('NFR repository'!H133=Params!$I$3,INDIRECT("'NFR repository'!L" &amp; ROW('NFR repository'!R133) &amp; "C" &amp; TEXT(28 + $AT$2,"0"),FALSE)&lt;&gt;""),'NFR repository'!I133,0)</f>
        <v>#REF!</v>
      </c>
      <c r="AU133" s="168" t="e">
        <f ca="1">IF(AND('NFR repository'!H133=Params!$I$3,INDIRECT("'NFR repository'!L" &amp; ROW('NFR repository'!R133) &amp; "C" &amp; TEXT(32 + $AU$2,"0"),FALSE)&lt;&gt;""),'NFR repository'!I133,0)</f>
        <v>#REF!</v>
      </c>
      <c r="AV133" s="233" t="e">
        <f ca="1">IF(AND('NFR repository'!H133=Params!$I$3,INDIRECT("'NFR repository'!L" &amp; ROW('NFR repository'!R133) &amp; "C" &amp; TEXT(36 + $AV$2,"0"),FALSE)&lt;&gt;""),'NFR repository'!I133,0)</f>
        <v>#REF!</v>
      </c>
      <c r="AW133" s="92">
        <f>IF(AND('NFR repository'!$H133=Params!$I$3,IFERROR(FIND(AW$1,'NFR repository'!$U133)&gt;0,FALSE)),'NFR repository'!$I133,0)</f>
        <v>0</v>
      </c>
      <c r="AX133" s="231">
        <f>IF(AND('NFR repository'!$H133=Params!$I$3,Synthesis!$I$8&lt;&gt;Params!$B$17,IFERROR(FIND(AX$1,'NFR repository'!$U133)&gt;0,FALSE)),'NFR repository'!$I133,0)</f>
        <v>0</v>
      </c>
      <c r="AY133" s="231">
        <f>IF(AND('NFR repository'!$H133=Params!$I$3,IFERROR(FIND(AY$1,'NFR repository'!$U133)&gt;0,FALSE)),'NFR repository'!$I133,0)</f>
        <v>0</v>
      </c>
      <c r="AZ133" s="231">
        <f>IF(AND('NFR repository'!$H133=Params!$I$3,IFERROR(FIND(AZ$1,'NFR repository'!$U133)&gt;0,FALSE)),'NFR repository'!$I133,0)</f>
        <v>0</v>
      </c>
      <c r="BA133" s="231">
        <f>IF(AND('NFR repository'!$H133=Params!$I$3,IFERROR(FIND(BA$1,'NFR repository'!$U133)&gt;0,FALSE)),'NFR repository'!$I133,0)</f>
        <v>0</v>
      </c>
      <c r="BB133" s="231">
        <f>IF(AND('NFR repository'!$H133=Params!$I$3,IFERROR(FIND(BB$1,'NFR repository'!$U133)&gt;0,FALSE)),'NFR repository'!$I133,0)</f>
        <v>0</v>
      </c>
      <c r="BC133" s="231">
        <f>IF(AND('NFR repository'!$H133=Params!$I$3,IFERROR(FIND(BC$1,'NFR repository'!$U133)&gt;0,FALSE)),'NFR repository'!$I133,0)</f>
        <v>0</v>
      </c>
      <c r="BD133" s="231">
        <f>IF(AND('NFR repository'!$H133=Params!$I$3,IFERROR(FIND(BD$1,'NFR repository'!$U133)&gt;0,FALSE)),'NFR repository'!$I133,0)</f>
        <v>0</v>
      </c>
      <c r="BE133" s="93">
        <f>IF(AND('NFR repository'!$H133=Params!$I$3,IFERROR(FIND(BE$1,'NFR repository'!$U133)&gt;0,FALSE)),'NFR repository'!$I133,0)</f>
        <v>0</v>
      </c>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row>
    <row r="134" spans="1:84" ht="45" x14ac:dyDescent="0.25">
      <c r="A134" s="2"/>
      <c r="B134" s="193" t="s">
        <v>829</v>
      </c>
      <c r="C134" s="194" t="s">
        <v>830</v>
      </c>
      <c r="D134" s="202" t="s">
        <v>137</v>
      </c>
      <c r="E134" s="87" t="s">
        <v>834</v>
      </c>
      <c r="F134" s="38" t="s">
        <v>583</v>
      </c>
      <c r="G134" s="78" t="s">
        <v>826</v>
      </c>
      <c r="H134" s="35" t="s">
        <v>472</v>
      </c>
      <c r="I134" s="72" t="s">
        <v>41</v>
      </c>
      <c r="J134" s="228"/>
      <c r="K134" s="228"/>
      <c r="L134" s="201"/>
      <c r="M134" s="80" t="s">
        <v>130</v>
      </c>
      <c r="N134" s="80" t="s">
        <v>803</v>
      </c>
      <c r="O134" s="78" t="s">
        <v>576</v>
      </c>
      <c r="P134" s="78" t="s">
        <v>577</v>
      </c>
      <c r="Q134" s="78" t="s">
        <v>46</v>
      </c>
      <c r="R134" s="78" t="s">
        <v>46</v>
      </c>
      <c r="S134" s="38" t="s">
        <v>46</v>
      </c>
      <c r="T134" s="38" t="s">
        <v>46</v>
      </c>
      <c r="U134" s="38" t="s">
        <v>724</v>
      </c>
      <c r="V134" s="40" t="s">
        <v>591</v>
      </c>
      <c r="W134" s="11"/>
      <c r="X134" s="11"/>
      <c r="Y134" s="11"/>
      <c r="Z134" s="11"/>
      <c r="AA134" s="11"/>
      <c r="AB134" s="11"/>
      <c r="AC134" s="11"/>
      <c r="AD134" s="11"/>
      <c r="AE134" s="11"/>
      <c r="AF134" s="11"/>
      <c r="AG134" s="11"/>
      <c r="AH134" s="11"/>
      <c r="AI134" s="11"/>
      <c r="AJ134" s="11"/>
      <c r="AK134" s="11"/>
      <c r="AL134" s="11"/>
      <c r="AM134" s="11"/>
      <c r="AN134" s="11"/>
      <c r="AO134" s="11" t="s">
        <v>128</v>
      </c>
      <c r="AP134" s="11"/>
      <c r="AQ134" s="11"/>
      <c r="AR134" s="2"/>
      <c r="AS134" s="92" t="e">
        <f ca="1">IF(AND('NFR repository'!H134=Params!$I$3,INDIRECT("'NFR repository'!L" &amp; ROW('NFR repository'!A134) &amp; "C" &amp; TEXT(24 + $AS$2,"0"),FALSE)&lt;&gt;""),'NFR repository'!I134,0)</f>
        <v>#REF!</v>
      </c>
      <c r="AT134" s="252" t="e">
        <f ca="1">IF(AND('NFR repository'!H134=Params!$I$3,INDIRECT("'NFR repository'!L" &amp; ROW('NFR repository'!R134) &amp; "C" &amp; TEXT(28 + $AT$2,"0"),FALSE)&lt;&gt;""),'NFR repository'!I134,0)</f>
        <v>#REF!</v>
      </c>
      <c r="AU134" s="252" t="e">
        <f ca="1">IF(AND('NFR repository'!H134=Params!$I$3,INDIRECT("'NFR repository'!L" &amp; ROW('NFR repository'!R134) &amp; "C" &amp; TEXT(32 + $AU$2,"0"),FALSE)&lt;&gt;""),'NFR repository'!I134,0)</f>
        <v>#REF!</v>
      </c>
      <c r="AV134" s="253" t="e">
        <f ca="1">IF(AND('NFR repository'!H134=Params!$I$3,INDIRECT("'NFR repository'!L" &amp; ROW('NFR repository'!R134) &amp; "C" &amp; TEXT(36 + $AV$2,"0"),FALSE)&lt;&gt;""),'NFR repository'!I134,0)</f>
        <v>#REF!</v>
      </c>
      <c r="AW134" s="92">
        <f>IF(AND('NFR repository'!$H134=Params!$I$3,IFERROR(FIND(AW$1,'NFR repository'!$U134)&gt;0,FALSE)),'NFR repository'!$I134,0)</f>
        <v>0</v>
      </c>
      <c r="AX134" s="252">
        <f>IF(AND('NFR repository'!$H134=Params!$I$3,Synthesis!$I$8&lt;&gt;Params!$B$17,IFERROR(FIND(AX$1,'NFR repository'!$U134)&gt;0,FALSE)),'NFR repository'!$I134,0)</f>
        <v>0</v>
      </c>
      <c r="AY134" s="252">
        <f>IF(AND('NFR repository'!$H134=Params!$I$3,IFERROR(FIND(AY$1,'NFR repository'!$U134)&gt;0,FALSE)),'NFR repository'!$I134,0)</f>
        <v>0</v>
      </c>
      <c r="AZ134" s="252">
        <f>IF(AND('NFR repository'!$H134=Params!$I$3,IFERROR(FIND(AZ$1,'NFR repository'!$U134)&gt;0,FALSE)),'NFR repository'!$I134,0)</f>
        <v>0</v>
      </c>
      <c r="BA134" s="252">
        <f>IF(AND('NFR repository'!$H134=Params!$I$3,IFERROR(FIND(BA$1,'NFR repository'!$U134)&gt;0,FALSE)),'NFR repository'!$I134,0)</f>
        <v>0</v>
      </c>
      <c r="BB134" s="252">
        <f>IF(AND('NFR repository'!$H134=Params!$I$3,IFERROR(FIND(BB$1,'NFR repository'!$U134)&gt;0,FALSE)),'NFR repository'!$I134,0)</f>
        <v>0</v>
      </c>
      <c r="BC134" s="252">
        <f>IF(AND('NFR repository'!$H134=Params!$I$3,IFERROR(FIND(BC$1,'NFR repository'!$U134)&gt;0,FALSE)),'NFR repository'!$I134,0)</f>
        <v>0</v>
      </c>
      <c r="BD134" s="252">
        <f>IF(AND('NFR repository'!$H134=Params!$I$3,IFERROR(FIND(BD$1,'NFR repository'!$U134)&gt;0,FALSE)),'NFR repository'!$I134,0)</f>
        <v>0</v>
      </c>
      <c r="BE134" s="93">
        <f>IF(AND('NFR repository'!$H134=Params!$I$3,IFERROR(FIND(BE$1,'NFR repository'!$U134)&gt;0,FALSE)),'NFR repository'!$I134,0)</f>
        <v>0</v>
      </c>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row>
    <row r="135" spans="1:84" ht="15.75" x14ac:dyDescent="0.25">
      <c r="A135" s="2"/>
      <c r="B135" s="52" t="s">
        <v>84</v>
      </c>
      <c r="C135" s="39" t="s">
        <v>83</v>
      </c>
      <c r="D135" s="88"/>
      <c r="E135" s="88"/>
      <c r="F135" s="41"/>
      <c r="G135" s="77"/>
      <c r="H135" s="41"/>
      <c r="I135" s="50"/>
      <c r="J135" s="218"/>
      <c r="K135" s="218"/>
      <c r="L135" s="205"/>
      <c r="M135" s="77"/>
      <c r="N135" s="77"/>
      <c r="O135" s="77"/>
      <c r="P135" s="77"/>
      <c r="Q135" s="77"/>
      <c r="R135" s="77"/>
      <c r="S135" s="41"/>
      <c r="T135" s="41"/>
      <c r="U135" s="41"/>
      <c r="V135" s="41"/>
      <c r="W135" s="4"/>
      <c r="X135" s="4"/>
      <c r="Y135" s="4"/>
      <c r="Z135" s="4"/>
      <c r="AA135" s="4"/>
      <c r="AB135" s="4"/>
      <c r="AC135" s="4"/>
      <c r="AD135" s="4"/>
      <c r="AE135" s="4"/>
      <c r="AF135" s="4"/>
      <c r="AG135" s="4"/>
      <c r="AH135" s="4"/>
      <c r="AI135" s="4"/>
      <c r="AJ135" s="4"/>
      <c r="AK135" s="4"/>
      <c r="AL135" s="4"/>
      <c r="AM135" s="4"/>
      <c r="AN135" s="4"/>
      <c r="AO135" s="4"/>
      <c r="AP135" s="4"/>
      <c r="AQ135" s="4"/>
      <c r="AR135" s="2"/>
      <c r="AS135" s="92" t="e">
        <f ca="1">IF(AND('NFR repository'!H135=Params!$I$3,INDIRECT("'NFR repository'!L" &amp; ROW('NFR repository'!A135) &amp; "C" &amp; TEXT(24 + $AS$2,"0"),FALSE)&lt;&gt;""),'NFR repository'!I135,0)</f>
        <v>#REF!</v>
      </c>
      <c r="AT135" s="168" t="e">
        <f ca="1">IF(AND('NFR repository'!H135=Params!$I$3,INDIRECT("'NFR repository'!L" &amp; ROW('NFR repository'!R135) &amp; "C" &amp; TEXT(28 + $AT$2,"0"),FALSE)&lt;&gt;""),'NFR repository'!I135,0)</f>
        <v>#REF!</v>
      </c>
      <c r="AU135" s="168" t="e">
        <f ca="1">IF(AND('NFR repository'!H135=Params!$I$3,INDIRECT("'NFR repository'!L" &amp; ROW('NFR repository'!R135) &amp; "C" &amp; TEXT(32 + $AU$2,"0"),FALSE)&lt;&gt;""),'NFR repository'!I135,0)</f>
        <v>#REF!</v>
      </c>
      <c r="AV135" s="233" t="e">
        <f ca="1">IF(AND('NFR repository'!H135=Params!$I$3,INDIRECT("'NFR repository'!L" &amp; ROW('NFR repository'!R135) &amp; "C" &amp; TEXT(36 + $AV$2,"0"),FALSE)&lt;&gt;""),'NFR repository'!I135,0)</f>
        <v>#REF!</v>
      </c>
      <c r="AW135" s="92">
        <f>IF(AND('NFR repository'!$H135=Params!$I$3,IFERROR(FIND(AW$1,'NFR repository'!$U135)&gt;0,FALSE)),'NFR repository'!$I135,0)</f>
        <v>0</v>
      </c>
      <c r="AX135" s="231">
        <f>IF(AND('NFR repository'!$H135=Params!$I$3,Synthesis!$I$8&lt;&gt;Params!$B$17,IFERROR(FIND(AX$1,'NFR repository'!$U135)&gt;0,FALSE)),'NFR repository'!$I135,0)</f>
        <v>0</v>
      </c>
      <c r="AY135" s="231">
        <f>IF(AND('NFR repository'!$H135=Params!$I$3,IFERROR(FIND(AY$1,'NFR repository'!$U135)&gt;0,FALSE)),'NFR repository'!$I135,0)</f>
        <v>0</v>
      </c>
      <c r="AZ135" s="231">
        <f>IF(AND('NFR repository'!$H135=Params!$I$3,IFERROR(FIND(AZ$1,'NFR repository'!$U135)&gt;0,FALSE)),'NFR repository'!$I135,0)</f>
        <v>0</v>
      </c>
      <c r="BA135" s="231">
        <f>IF(AND('NFR repository'!$H135=Params!$I$3,IFERROR(FIND(BA$1,'NFR repository'!$U135)&gt;0,FALSE)),'NFR repository'!$I135,0)</f>
        <v>0</v>
      </c>
      <c r="BB135" s="231">
        <f>IF(AND('NFR repository'!$H135=Params!$I$3,IFERROR(FIND(BB$1,'NFR repository'!$U135)&gt;0,FALSE)),'NFR repository'!$I135,0)</f>
        <v>0</v>
      </c>
      <c r="BC135" s="231">
        <f>IF(AND('NFR repository'!$H135=Params!$I$3,IFERROR(FIND(BC$1,'NFR repository'!$U135)&gt;0,FALSE)),'NFR repository'!$I135,0)</f>
        <v>0</v>
      </c>
      <c r="BD135" s="231">
        <f>IF(AND('NFR repository'!$H135=Params!$I$3,IFERROR(FIND(BD$1,'NFR repository'!$U135)&gt;0,FALSE)),'NFR repository'!$I135,0)</f>
        <v>0</v>
      </c>
      <c r="BE135" s="93">
        <f>IF(AND('NFR repository'!$H135=Params!$I$3,IFERROR(FIND(BE$1,'NFR repository'!$U135)&gt;0,FALSE)),'NFR repository'!$I135,0)</f>
        <v>0</v>
      </c>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row>
    <row r="136" spans="1:84" ht="60" x14ac:dyDescent="0.25">
      <c r="A136" s="2"/>
      <c r="B136" s="193" t="s">
        <v>251</v>
      </c>
      <c r="C136" s="194" t="s">
        <v>412</v>
      </c>
      <c r="D136" s="36" t="s">
        <v>137</v>
      </c>
      <c r="E136" s="36"/>
      <c r="F136" s="38" t="s">
        <v>345</v>
      </c>
      <c r="G136" s="78" t="s">
        <v>745</v>
      </c>
      <c r="H136" s="35" t="s">
        <v>472</v>
      </c>
      <c r="I136" s="72" t="s">
        <v>41</v>
      </c>
      <c r="J136" s="215"/>
      <c r="K136" s="215"/>
      <c r="L136" s="195"/>
      <c r="M136" s="78" t="s">
        <v>558</v>
      </c>
      <c r="N136" s="51" t="s">
        <v>571</v>
      </c>
      <c r="O136" s="51" t="s">
        <v>576</v>
      </c>
      <c r="P136" s="51" t="s">
        <v>577</v>
      </c>
      <c r="Q136" s="51" t="s">
        <v>46</v>
      </c>
      <c r="R136" s="51" t="s">
        <v>46</v>
      </c>
      <c r="S136" s="35" t="s">
        <v>46</v>
      </c>
      <c r="T136" s="35" t="s">
        <v>46</v>
      </c>
      <c r="U136" s="38" t="s">
        <v>714</v>
      </c>
      <c r="V136" s="35" t="s">
        <v>11</v>
      </c>
      <c r="W136" s="3"/>
      <c r="X136" s="3"/>
      <c r="Y136" s="3"/>
      <c r="Z136" s="3"/>
      <c r="AA136" s="3"/>
      <c r="AB136" s="3"/>
      <c r="AC136" s="3" t="s">
        <v>128</v>
      </c>
      <c r="AD136" s="3" t="s">
        <v>128</v>
      </c>
      <c r="AE136" s="3"/>
      <c r="AF136" s="3"/>
      <c r="AG136" s="3" t="s">
        <v>128</v>
      </c>
      <c r="AH136" s="3" t="s">
        <v>128</v>
      </c>
      <c r="AI136" s="11"/>
      <c r="AJ136" s="11" t="s">
        <v>128</v>
      </c>
      <c r="AK136" s="11" t="s">
        <v>128</v>
      </c>
      <c r="AL136" s="11" t="s">
        <v>128</v>
      </c>
      <c r="AM136" s="3"/>
      <c r="AN136" s="3"/>
      <c r="AO136" s="3" t="s">
        <v>128</v>
      </c>
      <c r="AP136" s="3"/>
      <c r="AQ136" s="3"/>
      <c r="AR136" s="2"/>
      <c r="AS136" s="92" t="e">
        <f ca="1">IF(AND('NFR repository'!H136=Params!$I$3,INDIRECT("'NFR repository'!L" &amp; ROW('NFR repository'!A136) &amp; "C" &amp; TEXT(24 + $AS$2,"0"),FALSE)&lt;&gt;""),'NFR repository'!I136,0)</f>
        <v>#REF!</v>
      </c>
      <c r="AT136" s="168" t="e">
        <f ca="1">IF(AND('NFR repository'!H136=Params!$I$3,INDIRECT("'NFR repository'!L" &amp; ROW('NFR repository'!R136) &amp; "C" &amp; TEXT(28 + $AT$2,"0"),FALSE)&lt;&gt;""),'NFR repository'!I136,0)</f>
        <v>#REF!</v>
      </c>
      <c r="AU136" s="168" t="e">
        <f ca="1">IF(AND('NFR repository'!H136=Params!$I$3,INDIRECT("'NFR repository'!L" &amp; ROW('NFR repository'!R136) &amp; "C" &amp; TEXT(32 + $AU$2,"0"),FALSE)&lt;&gt;""),'NFR repository'!I136,0)</f>
        <v>#REF!</v>
      </c>
      <c r="AV136" s="233" t="e">
        <f ca="1">IF(AND('NFR repository'!H136=Params!$I$3,INDIRECT("'NFR repository'!L" &amp; ROW('NFR repository'!R136) &amp; "C" &amp; TEXT(36 + $AV$2,"0"),FALSE)&lt;&gt;""),'NFR repository'!I136,0)</f>
        <v>#REF!</v>
      </c>
      <c r="AW136" s="92">
        <f>IF(AND('NFR repository'!$H136=Params!$I$3,IFERROR(FIND(AW$1,'NFR repository'!$U136)&gt;0,FALSE)),'NFR repository'!$I136,0)</f>
        <v>0</v>
      </c>
      <c r="AX136" s="231">
        <f>IF(AND('NFR repository'!$H136=Params!$I$3,Synthesis!$I$8&lt;&gt;Params!$B$17,IFERROR(FIND(AX$1,'NFR repository'!$U136)&gt;0,FALSE)),'NFR repository'!$I136,0)</f>
        <v>0</v>
      </c>
      <c r="AY136" s="231">
        <f>IF(AND('NFR repository'!$H136=Params!$I$3,IFERROR(FIND(AY$1,'NFR repository'!$U136)&gt;0,FALSE)),'NFR repository'!$I136,0)</f>
        <v>0</v>
      </c>
      <c r="AZ136" s="231">
        <f>IF(AND('NFR repository'!$H136=Params!$I$3,IFERROR(FIND(AZ$1,'NFR repository'!$U136)&gt;0,FALSE)),'NFR repository'!$I136,0)</f>
        <v>0</v>
      </c>
      <c r="BA136" s="231">
        <f>IF(AND('NFR repository'!$H136=Params!$I$3,IFERROR(FIND(BA$1,'NFR repository'!$U136)&gt;0,FALSE)),'NFR repository'!$I136,0)</f>
        <v>0</v>
      </c>
      <c r="BB136" s="231">
        <f>IF(AND('NFR repository'!$H136=Params!$I$3,IFERROR(FIND(BB$1,'NFR repository'!$U136)&gt;0,FALSE)),'NFR repository'!$I136,0)</f>
        <v>0</v>
      </c>
      <c r="BC136" s="231">
        <f>IF(AND('NFR repository'!$H136=Params!$I$3,IFERROR(FIND(BC$1,'NFR repository'!$U136)&gt;0,FALSE)),'NFR repository'!$I136,0)</f>
        <v>0</v>
      </c>
      <c r="BD136" s="231">
        <f>IF(AND('NFR repository'!$H136=Params!$I$3,IFERROR(FIND(BD$1,'NFR repository'!$U136)&gt;0,FALSE)),'NFR repository'!$I136,0)</f>
        <v>0</v>
      </c>
      <c r="BE136" s="93">
        <f>IF(AND('NFR repository'!$H136=Params!$I$3,IFERROR(FIND(BE$1,'NFR repository'!$U136)&gt;0,FALSE)),'NFR repository'!$I136,0)</f>
        <v>0</v>
      </c>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row>
    <row r="137" spans="1:84" ht="60" x14ac:dyDescent="0.25">
      <c r="A137" s="2"/>
      <c r="B137" s="193" t="s">
        <v>252</v>
      </c>
      <c r="C137" s="204" t="s">
        <v>729</v>
      </c>
      <c r="D137" s="36" t="s">
        <v>137</v>
      </c>
      <c r="E137" s="36" t="s">
        <v>126</v>
      </c>
      <c r="F137" s="35" t="s">
        <v>147</v>
      </c>
      <c r="G137" s="78" t="s">
        <v>742</v>
      </c>
      <c r="H137" s="35" t="s">
        <v>472</v>
      </c>
      <c r="I137" s="72" t="s">
        <v>41</v>
      </c>
      <c r="J137" s="215"/>
      <c r="K137" s="215"/>
      <c r="L137" s="195"/>
      <c r="M137" s="78" t="s">
        <v>558</v>
      </c>
      <c r="N137" s="78" t="s">
        <v>564</v>
      </c>
      <c r="O137" s="51" t="s">
        <v>574</v>
      </c>
      <c r="P137" s="51" t="s">
        <v>577</v>
      </c>
      <c r="Q137" s="51" t="s">
        <v>46</v>
      </c>
      <c r="R137" s="51" t="s">
        <v>46</v>
      </c>
      <c r="S137" s="35" t="s">
        <v>46</v>
      </c>
      <c r="T137" s="35" t="s">
        <v>46</v>
      </c>
      <c r="U137" s="38" t="s">
        <v>633</v>
      </c>
      <c r="V137" s="35" t="s">
        <v>633</v>
      </c>
      <c r="W137" s="3"/>
      <c r="X137" s="3"/>
      <c r="Y137" s="3"/>
      <c r="Z137" s="3"/>
      <c r="AA137" s="3"/>
      <c r="AB137" s="3"/>
      <c r="AC137" s="3"/>
      <c r="AD137" s="3"/>
      <c r="AE137" s="3"/>
      <c r="AF137" s="3"/>
      <c r="AG137" s="3"/>
      <c r="AH137" s="3"/>
      <c r="AI137" s="3"/>
      <c r="AJ137" s="11"/>
      <c r="AK137" s="3" t="s">
        <v>128</v>
      </c>
      <c r="AL137" s="3" t="s">
        <v>128</v>
      </c>
      <c r="AM137" s="3"/>
      <c r="AN137" s="3"/>
      <c r="AO137" s="3"/>
      <c r="AP137" s="3"/>
      <c r="AQ137" s="3"/>
      <c r="AR137" s="2"/>
      <c r="AS137" s="92" t="e">
        <f ca="1">IF(AND('NFR repository'!H137=Params!$I$3,INDIRECT("'NFR repository'!L" &amp; ROW('NFR repository'!A137) &amp; "C" &amp; TEXT(24 + $AS$2,"0"),FALSE)&lt;&gt;""),'NFR repository'!I137,0)</f>
        <v>#REF!</v>
      </c>
      <c r="AT137" s="168" t="e">
        <f ca="1">IF(AND('NFR repository'!H137=Params!$I$3,INDIRECT("'NFR repository'!L" &amp; ROW('NFR repository'!R137) &amp; "C" &amp; TEXT(28 + $AT$2,"0"),FALSE)&lt;&gt;""),'NFR repository'!I137,0)</f>
        <v>#REF!</v>
      </c>
      <c r="AU137" s="168" t="e">
        <f ca="1">IF(AND('NFR repository'!H137=Params!$I$3,INDIRECT("'NFR repository'!L" &amp; ROW('NFR repository'!R137) &amp; "C" &amp; TEXT(32 + $AU$2,"0"),FALSE)&lt;&gt;""),'NFR repository'!I137,0)</f>
        <v>#REF!</v>
      </c>
      <c r="AV137" s="233" t="e">
        <f ca="1">IF(AND('NFR repository'!H137=Params!$I$3,INDIRECT("'NFR repository'!L" &amp; ROW('NFR repository'!R137) &amp; "C" &amp; TEXT(36 + $AV$2,"0"),FALSE)&lt;&gt;""),'NFR repository'!I137,0)</f>
        <v>#REF!</v>
      </c>
      <c r="AW137" s="92">
        <f>IF(AND('NFR repository'!$H137=Params!$I$3,IFERROR(FIND(AW$1,'NFR repository'!$U137)&gt;0,FALSE)),'NFR repository'!$I137,0)</f>
        <v>0</v>
      </c>
      <c r="AX137" s="231">
        <f>IF(AND('NFR repository'!$H137=Params!$I$3,Synthesis!$I$8&lt;&gt;Params!$B$17,IFERROR(FIND(AX$1,'NFR repository'!$U137)&gt;0,FALSE)),'NFR repository'!$I137,0)</f>
        <v>0</v>
      </c>
      <c r="AY137" s="231">
        <f>IF(AND('NFR repository'!$H137=Params!$I$3,IFERROR(FIND(AY$1,'NFR repository'!$U137)&gt;0,FALSE)),'NFR repository'!$I137,0)</f>
        <v>0</v>
      </c>
      <c r="AZ137" s="231">
        <f>IF(AND('NFR repository'!$H137=Params!$I$3,IFERROR(FIND(AZ$1,'NFR repository'!$U137)&gt;0,FALSE)),'NFR repository'!$I137,0)</f>
        <v>0</v>
      </c>
      <c r="BA137" s="231">
        <f>IF(AND('NFR repository'!$H137=Params!$I$3,IFERROR(FIND(BA$1,'NFR repository'!$U137)&gt;0,FALSE)),'NFR repository'!$I137,0)</f>
        <v>0</v>
      </c>
      <c r="BB137" s="231">
        <f>IF(AND('NFR repository'!$H137=Params!$I$3,IFERROR(FIND(BB$1,'NFR repository'!$U137)&gt;0,FALSE)),'NFR repository'!$I137,0)</f>
        <v>0</v>
      </c>
      <c r="BC137" s="231">
        <f>IF(AND('NFR repository'!$H137=Params!$I$3,IFERROR(FIND(BC$1,'NFR repository'!$U137)&gt;0,FALSE)),'NFR repository'!$I137,0)</f>
        <v>0</v>
      </c>
      <c r="BD137" s="231">
        <f>IF(AND('NFR repository'!$H137=Params!$I$3,IFERROR(FIND(BD$1,'NFR repository'!$U137)&gt;0,FALSE)),'NFR repository'!$I137,0)</f>
        <v>0</v>
      </c>
      <c r="BE137" s="93">
        <f>IF(AND('NFR repository'!$H137=Params!$I$3,IFERROR(FIND(BE$1,'NFR repository'!$U137)&gt;0,FALSE)),'NFR repository'!$I137,0)</f>
        <v>0</v>
      </c>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row>
    <row r="138" spans="1:84" ht="45" x14ac:dyDescent="0.25">
      <c r="A138" s="1"/>
      <c r="B138" s="193" t="s">
        <v>253</v>
      </c>
      <c r="C138" s="194" t="s">
        <v>413</v>
      </c>
      <c r="D138" s="36" t="s">
        <v>137</v>
      </c>
      <c r="E138" s="36" t="s">
        <v>125</v>
      </c>
      <c r="F138" s="35" t="s">
        <v>584</v>
      </c>
      <c r="G138" s="51" t="s">
        <v>750</v>
      </c>
      <c r="H138" s="35" t="s">
        <v>472</v>
      </c>
      <c r="I138" s="37" t="s">
        <v>41</v>
      </c>
      <c r="J138" s="215"/>
      <c r="K138" s="215"/>
      <c r="L138" s="195"/>
      <c r="M138" s="51" t="s">
        <v>130</v>
      </c>
      <c r="N138" s="51" t="s">
        <v>666</v>
      </c>
      <c r="O138" s="51" t="s">
        <v>576</v>
      </c>
      <c r="P138" s="51" t="s">
        <v>577</v>
      </c>
      <c r="Q138" s="51" t="s">
        <v>46</v>
      </c>
      <c r="R138" s="51" t="s">
        <v>46</v>
      </c>
      <c r="S138" s="35" t="s">
        <v>46</v>
      </c>
      <c r="T138" s="35" t="s">
        <v>46</v>
      </c>
      <c r="U138" s="38" t="s">
        <v>633</v>
      </c>
      <c r="V138" s="35" t="s">
        <v>11</v>
      </c>
      <c r="W138" s="3"/>
      <c r="X138" s="3"/>
      <c r="Y138" s="3"/>
      <c r="Z138" s="3"/>
      <c r="AA138" s="3"/>
      <c r="AB138" s="3"/>
      <c r="AC138" s="3"/>
      <c r="AD138" s="3"/>
      <c r="AE138" s="3"/>
      <c r="AF138" s="3"/>
      <c r="AG138" s="3"/>
      <c r="AH138" s="3"/>
      <c r="AI138" s="3"/>
      <c r="AJ138" s="11"/>
      <c r="AK138" s="3" t="s">
        <v>128</v>
      </c>
      <c r="AL138" s="3" t="s">
        <v>128</v>
      </c>
      <c r="AM138" s="3"/>
      <c r="AN138" s="3"/>
      <c r="AO138" s="3"/>
      <c r="AP138" s="3"/>
      <c r="AQ138" s="3"/>
      <c r="AR138" s="2"/>
      <c r="AS138" s="92" t="e">
        <f ca="1">IF(AND('NFR repository'!H138=Params!$I$3,INDIRECT("'NFR repository'!L" &amp; ROW('NFR repository'!A138) &amp; "C" &amp; TEXT(24 + $AS$2,"0"),FALSE)&lt;&gt;""),'NFR repository'!I138,0)</f>
        <v>#REF!</v>
      </c>
      <c r="AT138" s="168" t="e">
        <f ca="1">IF(AND('NFR repository'!H138=Params!$I$3,INDIRECT("'NFR repository'!L" &amp; ROW('NFR repository'!R138) &amp; "C" &amp; TEXT(28 + $AT$2,"0"),FALSE)&lt;&gt;""),'NFR repository'!I138,0)</f>
        <v>#REF!</v>
      </c>
      <c r="AU138" s="168" t="e">
        <f ca="1">IF(AND('NFR repository'!H138=Params!$I$3,INDIRECT("'NFR repository'!L" &amp; ROW('NFR repository'!R138) &amp; "C" &amp; TEXT(32 + $AU$2,"0"),FALSE)&lt;&gt;""),'NFR repository'!I138,0)</f>
        <v>#REF!</v>
      </c>
      <c r="AV138" s="233" t="e">
        <f ca="1">IF(AND('NFR repository'!H138=Params!$I$3,INDIRECT("'NFR repository'!L" &amp; ROW('NFR repository'!R138) &amp; "C" &amp; TEXT(36 + $AV$2,"0"),FALSE)&lt;&gt;""),'NFR repository'!I138,0)</f>
        <v>#REF!</v>
      </c>
      <c r="AW138" s="92">
        <f>IF(AND('NFR repository'!$H138=Params!$I$3,IFERROR(FIND(AW$1,'NFR repository'!$U138)&gt;0,FALSE)),'NFR repository'!$I138,0)</f>
        <v>0</v>
      </c>
      <c r="AX138" s="231">
        <f>IF(AND('NFR repository'!$H138=Params!$I$3,Synthesis!$I$8&lt;&gt;Params!$B$17,IFERROR(FIND(AX$1,'NFR repository'!$U138)&gt;0,FALSE)),'NFR repository'!$I138,0)</f>
        <v>0</v>
      </c>
      <c r="AY138" s="231">
        <f>IF(AND('NFR repository'!$H138=Params!$I$3,IFERROR(FIND(AY$1,'NFR repository'!$U138)&gt;0,FALSE)),'NFR repository'!$I138,0)</f>
        <v>0</v>
      </c>
      <c r="AZ138" s="231">
        <f>IF(AND('NFR repository'!$H138=Params!$I$3,IFERROR(FIND(AZ$1,'NFR repository'!$U138)&gt;0,FALSE)),'NFR repository'!$I138,0)</f>
        <v>0</v>
      </c>
      <c r="BA138" s="231">
        <f>IF(AND('NFR repository'!$H138=Params!$I$3,IFERROR(FIND(BA$1,'NFR repository'!$U138)&gt;0,FALSE)),'NFR repository'!$I138,0)</f>
        <v>0</v>
      </c>
      <c r="BB138" s="231">
        <f>IF(AND('NFR repository'!$H138=Params!$I$3,IFERROR(FIND(BB$1,'NFR repository'!$U138)&gt;0,FALSE)),'NFR repository'!$I138,0)</f>
        <v>0</v>
      </c>
      <c r="BC138" s="231">
        <f>IF(AND('NFR repository'!$H138=Params!$I$3,IFERROR(FIND(BC$1,'NFR repository'!$U138)&gt;0,FALSE)),'NFR repository'!$I138,0)</f>
        <v>0</v>
      </c>
      <c r="BD138" s="231">
        <f>IF(AND('NFR repository'!$H138=Params!$I$3,IFERROR(FIND(BD$1,'NFR repository'!$U138)&gt;0,FALSE)),'NFR repository'!$I138,0)</f>
        <v>0</v>
      </c>
      <c r="BE138" s="93">
        <f>IF(AND('NFR repository'!$H138=Params!$I$3,IFERROR(FIND(BE$1,'NFR repository'!$U138)&gt;0,FALSE)),'NFR repository'!$I138,0)</f>
        <v>0</v>
      </c>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row>
    <row r="139" spans="1:84" ht="60" x14ac:dyDescent="0.25">
      <c r="A139" s="1"/>
      <c r="B139" s="210" t="s">
        <v>738</v>
      </c>
      <c r="C139" s="204" t="s">
        <v>739</v>
      </c>
      <c r="D139" s="87" t="s">
        <v>754</v>
      </c>
      <c r="E139" s="87"/>
      <c r="F139" s="38" t="s">
        <v>583</v>
      </c>
      <c r="G139" s="78" t="s">
        <v>583</v>
      </c>
      <c r="H139" s="38" t="s">
        <v>472</v>
      </c>
      <c r="I139" s="72" t="s">
        <v>41</v>
      </c>
      <c r="J139" s="228"/>
      <c r="K139" s="228"/>
      <c r="L139" s="201"/>
      <c r="M139" s="78" t="s">
        <v>130</v>
      </c>
      <c r="N139" s="78" t="s">
        <v>170</v>
      </c>
      <c r="O139" s="78" t="s">
        <v>576</v>
      </c>
      <c r="P139" s="78" t="s">
        <v>577</v>
      </c>
      <c r="Q139" s="78" t="s">
        <v>46</v>
      </c>
      <c r="R139" s="78" t="s">
        <v>46</v>
      </c>
      <c r="S139" s="38" t="s">
        <v>46</v>
      </c>
      <c r="T139" s="38" t="s">
        <v>46</v>
      </c>
      <c r="U139" s="38" t="s">
        <v>714</v>
      </c>
      <c r="V139" s="38" t="s">
        <v>11</v>
      </c>
      <c r="W139" s="11"/>
      <c r="X139" s="11"/>
      <c r="Y139" s="11"/>
      <c r="Z139" s="11"/>
      <c r="AA139" s="11"/>
      <c r="AB139" s="11"/>
      <c r="AC139" s="11"/>
      <c r="AD139" s="11"/>
      <c r="AE139" s="11"/>
      <c r="AF139" s="11"/>
      <c r="AG139" s="11"/>
      <c r="AH139" s="11"/>
      <c r="AI139" s="11"/>
      <c r="AJ139" s="11" t="s">
        <v>128</v>
      </c>
      <c r="AK139" s="11" t="s">
        <v>128</v>
      </c>
      <c r="AL139" s="11" t="s">
        <v>128</v>
      </c>
      <c r="AM139" s="11"/>
      <c r="AN139" s="11"/>
      <c r="AO139" s="11" t="s">
        <v>128</v>
      </c>
      <c r="AP139" s="11"/>
      <c r="AQ139" s="11"/>
      <c r="AR139" s="2"/>
      <c r="AS139" s="92" t="e">
        <f ca="1">IF(AND('NFR repository'!H139=Params!$I$3,INDIRECT("'NFR repository'!L" &amp; ROW('NFR repository'!A139) &amp; "C" &amp; TEXT(24 + $AS$2,"0"),FALSE)&lt;&gt;""),'NFR repository'!I139,0)</f>
        <v>#REF!</v>
      </c>
      <c r="AT139" s="225" t="e">
        <f ca="1">IF(AND('NFR repository'!H139=Params!$I$3,INDIRECT("'NFR repository'!L" &amp; ROW('NFR repository'!R139) &amp; "C" &amp; TEXT(28 + $AT$2,"0"),FALSE)&lt;&gt;""),'NFR repository'!I139,0)</f>
        <v>#REF!</v>
      </c>
      <c r="AU139" s="225" t="e">
        <f ca="1">IF(AND('NFR repository'!H139=Params!$I$3,INDIRECT("'NFR repository'!L" &amp; ROW('NFR repository'!R139) &amp; "C" &amp; TEXT(32 + $AU$2,"0"),FALSE)&lt;&gt;""),'NFR repository'!I139,0)</f>
        <v>#REF!</v>
      </c>
      <c r="AV139" s="233" t="e">
        <f ca="1">IF(AND('NFR repository'!H139=Params!$I$3,INDIRECT("'NFR repository'!L" &amp; ROW('NFR repository'!R139) &amp; "C" &amp; TEXT(36 + $AV$2,"0"),FALSE)&lt;&gt;""),'NFR repository'!I139,0)</f>
        <v>#REF!</v>
      </c>
      <c r="AW139" s="92">
        <f>IF(AND('NFR repository'!$H139=Params!$I$3,IFERROR(FIND(AW$1,'NFR repository'!$U139)&gt;0,FALSE)),'NFR repository'!$I139,0)</f>
        <v>0</v>
      </c>
      <c r="AX139" s="231">
        <f>IF(AND('NFR repository'!$H139=Params!$I$3,Synthesis!$I$8&lt;&gt;Params!$B$17,IFERROR(FIND(AX$1,'NFR repository'!$U139)&gt;0,FALSE)),'NFR repository'!$I139,0)</f>
        <v>0</v>
      </c>
      <c r="AY139" s="231">
        <f>IF(AND('NFR repository'!$H139=Params!$I$3,IFERROR(FIND(AY$1,'NFR repository'!$U139)&gt;0,FALSE)),'NFR repository'!$I139,0)</f>
        <v>0</v>
      </c>
      <c r="AZ139" s="231">
        <f>IF(AND('NFR repository'!$H139=Params!$I$3,IFERROR(FIND(AZ$1,'NFR repository'!$U139)&gt;0,FALSE)),'NFR repository'!$I139,0)</f>
        <v>0</v>
      </c>
      <c r="BA139" s="231">
        <f>IF(AND('NFR repository'!$H139=Params!$I$3,IFERROR(FIND(BA$1,'NFR repository'!$U139)&gt;0,FALSE)),'NFR repository'!$I139,0)</f>
        <v>0</v>
      </c>
      <c r="BB139" s="231">
        <f>IF(AND('NFR repository'!$H139=Params!$I$3,IFERROR(FIND(BB$1,'NFR repository'!$U139)&gt;0,FALSE)),'NFR repository'!$I139,0)</f>
        <v>0</v>
      </c>
      <c r="BC139" s="231">
        <f>IF(AND('NFR repository'!$H139=Params!$I$3,IFERROR(FIND(BC$1,'NFR repository'!$U139)&gt;0,FALSE)),'NFR repository'!$I139,0)</f>
        <v>0</v>
      </c>
      <c r="BD139" s="231">
        <f>IF(AND('NFR repository'!$H139=Params!$I$3,IFERROR(FIND(BD$1,'NFR repository'!$U139)&gt;0,FALSE)),'NFR repository'!$I139,0)</f>
        <v>0</v>
      </c>
      <c r="BE139" s="93">
        <f>IF(AND('NFR repository'!$H139=Params!$I$3,IFERROR(FIND(BE$1,'NFR repository'!$U139)&gt;0,FALSE)),'NFR repository'!$I139,0)</f>
        <v>0</v>
      </c>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row>
    <row r="140" spans="1:84" ht="31.5" x14ac:dyDescent="0.25">
      <c r="A140" s="1"/>
      <c r="B140" s="52" t="s">
        <v>111</v>
      </c>
      <c r="C140" s="39" t="s">
        <v>120</v>
      </c>
      <c r="D140" s="88"/>
      <c r="E140" s="88"/>
      <c r="F140" s="41"/>
      <c r="G140" s="77"/>
      <c r="H140" s="41"/>
      <c r="I140" s="50"/>
      <c r="J140" s="218"/>
      <c r="K140" s="218"/>
      <c r="L140" s="205"/>
      <c r="M140" s="77"/>
      <c r="N140" s="77"/>
      <c r="O140" s="77"/>
      <c r="P140" s="77"/>
      <c r="Q140" s="77"/>
      <c r="R140" s="77"/>
      <c r="S140" s="41"/>
      <c r="T140" s="41"/>
      <c r="U140" s="41"/>
      <c r="V140" s="41"/>
      <c r="W140" s="4"/>
      <c r="X140" s="4"/>
      <c r="Y140" s="4"/>
      <c r="Z140" s="4"/>
      <c r="AA140" s="4"/>
      <c r="AB140" s="4"/>
      <c r="AC140" s="4"/>
      <c r="AD140" s="4"/>
      <c r="AE140" s="4"/>
      <c r="AF140" s="4"/>
      <c r="AG140" s="4"/>
      <c r="AH140" s="4"/>
      <c r="AI140" s="4"/>
      <c r="AJ140" s="4"/>
      <c r="AK140" s="4"/>
      <c r="AL140" s="4"/>
      <c r="AM140" s="4"/>
      <c r="AN140" s="4"/>
      <c r="AO140" s="4"/>
      <c r="AP140" s="4"/>
      <c r="AQ140" s="4"/>
      <c r="AR140" s="2"/>
      <c r="AS140" s="92" t="e">
        <f ca="1">IF(AND('NFR repository'!H140=Params!$I$3,INDIRECT("'NFR repository'!L" &amp; ROW('NFR repository'!A140) &amp; "C" &amp; TEXT(24 + $AS$2,"0"),FALSE)&lt;&gt;""),'NFR repository'!I140,0)</f>
        <v>#REF!</v>
      </c>
      <c r="AT140" s="168" t="e">
        <f ca="1">IF(AND('NFR repository'!H140=Params!$I$3,INDIRECT("'NFR repository'!L" &amp; ROW('NFR repository'!R140) &amp; "C" &amp; TEXT(28 + $AT$2,"0"),FALSE)&lt;&gt;""),'NFR repository'!I140,0)</f>
        <v>#REF!</v>
      </c>
      <c r="AU140" s="168" t="e">
        <f ca="1">IF(AND('NFR repository'!H140=Params!$I$3,INDIRECT("'NFR repository'!L" &amp; ROW('NFR repository'!R140) &amp; "C" &amp; TEXT(32 + $AU$2,"0"),FALSE)&lt;&gt;""),'NFR repository'!I140,0)</f>
        <v>#REF!</v>
      </c>
      <c r="AV140" s="233" t="e">
        <f ca="1">IF(AND('NFR repository'!H140=Params!$I$3,INDIRECT("'NFR repository'!L" &amp; ROW('NFR repository'!R140) &amp; "C" &amp; TEXT(36 + $AV$2,"0"),FALSE)&lt;&gt;""),'NFR repository'!I140,0)</f>
        <v>#REF!</v>
      </c>
      <c r="AW140" s="92">
        <f>IF(AND('NFR repository'!$H140=Params!$I$3,IFERROR(FIND(AW$1,'NFR repository'!$U140)&gt;0,FALSE)),'NFR repository'!$I140,0)</f>
        <v>0</v>
      </c>
      <c r="AX140" s="231">
        <f>IF(AND('NFR repository'!$H140=Params!$I$3,Synthesis!$I$8&lt;&gt;Params!$B$17,IFERROR(FIND(AX$1,'NFR repository'!$U140)&gt;0,FALSE)),'NFR repository'!$I140,0)</f>
        <v>0</v>
      </c>
      <c r="AY140" s="231">
        <f>IF(AND('NFR repository'!$H140=Params!$I$3,IFERROR(FIND(AY$1,'NFR repository'!$U140)&gt;0,FALSE)),'NFR repository'!$I140,0)</f>
        <v>0</v>
      </c>
      <c r="AZ140" s="231">
        <f>IF(AND('NFR repository'!$H140=Params!$I$3,IFERROR(FIND(AZ$1,'NFR repository'!$U140)&gt;0,FALSE)),'NFR repository'!$I140,0)</f>
        <v>0</v>
      </c>
      <c r="BA140" s="231">
        <f>IF(AND('NFR repository'!$H140=Params!$I$3,IFERROR(FIND(BA$1,'NFR repository'!$U140)&gt;0,FALSE)),'NFR repository'!$I140,0)</f>
        <v>0</v>
      </c>
      <c r="BB140" s="231">
        <f>IF(AND('NFR repository'!$H140=Params!$I$3,IFERROR(FIND(BB$1,'NFR repository'!$U140)&gt;0,FALSE)),'NFR repository'!$I140,0)</f>
        <v>0</v>
      </c>
      <c r="BC140" s="231">
        <f>IF(AND('NFR repository'!$H140=Params!$I$3,IFERROR(FIND(BC$1,'NFR repository'!$U140)&gt;0,FALSE)),'NFR repository'!$I140,0)</f>
        <v>0</v>
      </c>
      <c r="BD140" s="231">
        <f>IF(AND('NFR repository'!$H140=Params!$I$3,IFERROR(FIND(BD$1,'NFR repository'!$U140)&gt;0,FALSE)),'NFR repository'!$I140,0)</f>
        <v>0</v>
      </c>
      <c r="BE140" s="93">
        <f>IF(AND('NFR repository'!$H140=Params!$I$3,IFERROR(FIND(BE$1,'NFR repository'!$U140)&gt;0,FALSE)),'NFR repository'!$I140,0)</f>
        <v>0</v>
      </c>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row>
    <row r="141" spans="1:84" ht="45" x14ac:dyDescent="0.25">
      <c r="A141" s="1"/>
      <c r="B141" s="193" t="s">
        <v>254</v>
      </c>
      <c r="C141" s="194" t="s">
        <v>604</v>
      </c>
      <c r="D141" s="36" t="s">
        <v>137</v>
      </c>
      <c r="E141" s="36" t="s">
        <v>605</v>
      </c>
      <c r="F141" s="35" t="s">
        <v>165</v>
      </c>
      <c r="G141" s="78" t="s">
        <v>328</v>
      </c>
      <c r="H141" s="35" t="s">
        <v>472</v>
      </c>
      <c r="I141" s="72" t="s">
        <v>41</v>
      </c>
      <c r="J141" s="215"/>
      <c r="K141" s="215"/>
      <c r="L141" s="195"/>
      <c r="M141" s="51" t="s">
        <v>558</v>
      </c>
      <c r="N141" s="51" t="s">
        <v>572</v>
      </c>
      <c r="O141" s="51" t="s">
        <v>574</v>
      </c>
      <c r="P141" s="51" t="s">
        <v>574</v>
      </c>
      <c r="Q141" s="51" t="s">
        <v>135</v>
      </c>
      <c r="R141" s="51" t="s">
        <v>135</v>
      </c>
      <c r="S141" s="35" t="s">
        <v>296</v>
      </c>
      <c r="T141" s="35" t="s">
        <v>46</v>
      </c>
      <c r="U141" s="35" t="s">
        <v>714</v>
      </c>
      <c r="V141" s="35" t="s">
        <v>146</v>
      </c>
      <c r="W141" s="3"/>
      <c r="X141" s="3"/>
      <c r="Y141" s="3"/>
      <c r="Z141" s="3"/>
      <c r="AA141" s="3"/>
      <c r="AB141" s="3"/>
      <c r="AC141" s="3"/>
      <c r="AD141" s="3"/>
      <c r="AE141" s="3"/>
      <c r="AF141" s="3"/>
      <c r="AG141" s="3"/>
      <c r="AH141" s="3"/>
      <c r="AI141" s="3"/>
      <c r="AJ141" s="3"/>
      <c r="AK141" s="3"/>
      <c r="AL141" s="3"/>
      <c r="AM141" s="3"/>
      <c r="AN141" s="3"/>
      <c r="AO141" s="3"/>
      <c r="AP141" s="3"/>
      <c r="AQ141" s="3"/>
      <c r="AR141" s="2"/>
      <c r="AS141" s="92" t="e">
        <f ca="1">IF(AND('NFR repository'!H141=Params!$I$3,INDIRECT("'NFR repository'!L" &amp; ROW('NFR repository'!A141) &amp; "C" &amp; TEXT(24 + $AS$2,"0"),FALSE)&lt;&gt;""),'NFR repository'!I141,0)</f>
        <v>#REF!</v>
      </c>
      <c r="AT141" s="168" t="e">
        <f ca="1">IF(AND('NFR repository'!H141=Params!$I$3,INDIRECT("'NFR repository'!L" &amp; ROW('NFR repository'!R141) &amp; "C" &amp; TEXT(28 + $AT$2,"0"),FALSE)&lt;&gt;""),'NFR repository'!I141,0)</f>
        <v>#REF!</v>
      </c>
      <c r="AU141" s="168" t="e">
        <f ca="1">IF(AND('NFR repository'!H141=Params!$I$3,INDIRECT("'NFR repository'!L" &amp; ROW('NFR repository'!R141) &amp; "C" &amp; TEXT(32 + $AU$2,"0"),FALSE)&lt;&gt;""),'NFR repository'!I141,0)</f>
        <v>#REF!</v>
      </c>
      <c r="AV141" s="233" t="e">
        <f ca="1">IF(AND('NFR repository'!H141=Params!$I$3,INDIRECT("'NFR repository'!L" &amp; ROW('NFR repository'!R141) &amp; "C" &amp; TEXT(36 + $AV$2,"0"),FALSE)&lt;&gt;""),'NFR repository'!I141,0)</f>
        <v>#REF!</v>
      </c>
      <c r="AW141" s="92">
        <f>IF(AND('NFR repository'!$H141=Params!$I$3,IFERROR(FIND(AW$1,'NFR repository'!$U141)&gt;0,FALSE)),'NFR repository'!$I141,0)</f>
        <v>0</v>
      </c>
      <c r="AX141" s="231">
        <f>IF(AND('NFR repository'!$H141=Params!$I$3,Synthesis!$I$8&lt;&gt;Params!$B$17,IFERROR(FIND(AX$1,'NFR repository'!$U141)&gt;0,FALSE)),'NFR repository'!$I141,0)</f>
        <v>0</v>
      </c>
      <c r="AY141" s="231">
        <f>IF(AND('NFR repository'!$H141=Params!$I$3,IFERROR(FIND(AY$1,'NFR repository'!$U141)&gt;0,FALSE)),'NFR repository'!$I141,0)</f>
        <v>0</v>
      </c>
      <c r="AZ141" s="231">
        <f>IF(AND('NFR repository'!$H141=Params!$I$3,IFERROR(FIND(AZ$1,'NFR repository'!$U141)&gt;0,FALSE)),'NFR repository'!$I141,0)</f>
        <v>0</v>
      </c>
      <c r="BA141" s="231">
        <f>IF(AND('NFR repository'!$H141=Params!$I$3,IFERROR(FIND(BA$1,'NFR repository'!$U141)&gt;0,FALSE)),'NFR repository'!$I141,0)</f>
        <v>0</v>
      </c>
      <c r="BB141" s="231">
        <f>IF(AND('NFR repository'!$H141=Params!$I$3,IFERROR(FIND(BB$1,'NFR repository'!$U141)&gt;0,FALSE)),'NFR repository'!$I141,0)</f>
        <v>0</v>
      </c>
      <c r="BC141" s="231">
        <f>IF(AND('NFR repository'!$H141=Params!$I$3,IFERROR(FIND(BC$1,'NFR repository'!$U141)&gt;0,FALSE)),'NFR repository'!$I141,0)</f>
        <v>0</v>
      </c>
      <c r="BD141" s="231">
        <f>IF(AND('NFR repository'!$H141=Params!$I$3,IFERROR(FIND(BD$1,'NFR repository'!$U141)&gt;0,FALSE)),'NFR repository'!$I141,0)</f>
        <v>0</v>
      </c>
      <c r="BE141" s="93">
        <f>IF(AND('NFR repository'!$H141=Params!$I$3,IFERROR(FIND(BE$1,'NFR repository'!$U141)&gt;0,FALSE)),'NFR repository'!$I141,0)</f>
        <v>0</v>
      </c>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row>
    <row r="142" spans="1:84" ht="30" x14ac:dyDescent="0.25">
      <c r="A142" s="1"/>
      <c r="B142" s="193" t="s">
        <v>255</v>
      </c>
      <c r="C142" s="194" t="s">
        <v>414</v>
      </c>
      <c r="D142" s="36" t="s">
        <v>137</v>
      </c>
      <c r="E142" s="36"/>
      <c r="F142" s="35" t="s">
        <v>166</v>
      </c>
      <c r="G142" s="51" t="s">
        <v>741</v>
      </c>
      <c r="H142" s="35" t="s">
        <v>472</v>
      </c>
      <c r="I142" s="72" t="s">
        <v>41</v>
      </c>
      <c r="J142" s="215"/>
      <c r="K142" s="215"/>
      <c r="L142" s="195"/>
      <c r="M142" s="51" t="s">
        <v>130</v>
      </c>
      <c r="N142" s="51" t="s">
        <v>141</v>
      </c>
      <c r="O142" s="51" t="s">
        <v>576</v>
      </c>
      <c r="P142" s="51" t="s">
        <v>576</v>
      </c>
      <c r="Q142" s="51" t="s">
        <v>46</v>
      </c>
      <c r="R142" s="51" t="s">
        <v>46</v>
      </c>
      <c r="S142" s="35" t="s">
        <v>46</v>
      </c>
      <c r="T142" s="35" t="s">
        <v>46</v>
      </c>
      <c r="U142" s="35" t="s">
        <v>714</v>
      </c>
      <c r="V142" s="35" t="s">
        <v>11</v>
      </c>
      <c r="W142" s="3"/>
      <c r="X142" s="3"/>
      <c r="Y142" s="3"/>
      <c r="Z142" s="3"/>
      <c r="AA142" s="3"/>
      <c r="AB142" s="3" t="s">
        <v>128</v>
      </c>
      <c r="AC142" s="11" t="s">
        <v>128</v>
      </c>
      <c r="AD142" s="11" t="s">
        <v>128</v>
      </c>
      <c r="AE142" s="3"/>
      <c r="AF142" s="3"/>
      <c r="AG142" s="3"/>
      <c r="AH142" s="3"/>
      <c r="AI142" s="3"/>
      <c r="AJ142" s="3"/>
      <c r="AK142" s="3"/>
      <c r="AL142" s="3"/>
      <c r="AM142" s="3"/>
      <c r="AN142" s="3"/>
      <c r="AO142" s="3" t="s">
        <v>128</v>
      </c>
      <c r="AP142" s="3"/>
      <c r="AQ142" s="3"/>
      <c r="AR142" s="2"/>
      <c r="AS142" s="92" t="e">
        <f ca="1">IF(AND('NFR repository'!H142=Params!$I$3,INDIRECT("'NFR repository'!L" &amp; ROW('NFR repository'!A142) &amp; "C" &amp; TEXT(24 + $AS$2,"0"),FALSE)&lt;&gt;""),'NFR repository'!I142,0)</f>
        <v>#REF!</v>
      </c>
      <c r="AT142" s="168" t="e">
        <f ca="1">IF(AND('NFR repository'!H142=Params!$I$3,INDIRECT("'NFR repository'!L" &amp; ROW('NFR repository'!R142) &amp; "C" &amp; TEXT(28 + $AT$2,"0"),FALSE)&lt;&gt;""),'NFR repository'!I142,0)</f>
        <v>#REF!</v>
      </c>
      <c r="AU142" s="168" t="e">
        <f ca="1">IF(AND('NFR repository'!H142=Params!$I$3,INDIRECT("'NFR repository'!L" &amp; ROW('NFR repository'!R142) &amp; "C" &amp; TEXT(32 + $AU$2,"0"),FALSE)&lt;&gt;""),'NFR repository'!I142,0)</f>
        <v>#REF!</v>
      </c>
      <c r="AV142" s="233" t="e">
        <f ca="1">IF(AND('NFR repository'!H142=Params!$I$3,INDIRECT("'NFR repository'!L" &amp; ROW('NFR repository'!R142) &amp; "C" &amp; TEXT(36 + $AV$2,"0"),FALSE)&lt;&gt;""),'NFR repository'!I142,0)</f>
        <v>#REF!</v>
      </c>
      <c r="AW142" s="92">
        <f>IF(AND('NFR repository'!$H142=Params!$I$3,IFERROR(FIND(AW$1,'NFR repository'!$U142)&gt;0,FALSE)),'NFR repository'!$I142,0)</f>
        <v>0</v>
      </c>
      <c r="AX142" s="231">
        <f>IF(AND('NFR repository'!$H142=Params!$I$3,Synthesis!$I$8&lt;&gt;Params!$B$17,IFERROR(FIND(AX$1,'NFR repository'!$U142)&gt;0,FALSE)),'NFR repository'!$I142,0)</f>
        <v>0</v>
      </c>
      <c r="AY142" s="231">
        <f>IF(AND('NFR repository'!$H142=Params!$I$3,IFERROR(FIND(AY$1,'NFR repository'!$U142)&gt;0,FALSE)),'NFR repository'!$I142,0)</f>
        <v>0</v>
      </c>
      <c r="AZ142" s="231">
        <f>IF(AND('NFR repository'!$H142=Params!$I$3,IFERROR(FIND(AZ$1,'NFR repository'!$U142)&gt;0,FALSE)),'NFR repository'!$I142,0)</f>
        <v>0</v>
      </c>
      <c r="BA142" s="231">
        <f>IF(AND('NFR repository'!$H142=Params!$I$3,IFERROR(FIND(BA$1,'NFR repository'!$U142)&gt;0,FALSE)),'NFR repository'!$I142,0)</f>
        <v>0</v>
      </c>
      <c r="BB142" s="231">
        <f>IF(AND('NFR repository'!$H142=Params!$I$3,IFERROR(FIND(BB$1,'NFR repository'!$U142)&gt;0,FALSE)),'NFR repository'!$I142,0)</f>
        <v>0</v>
      </c>
      <c r="BC142" s="231">
        <f>IF(AND('NFR repository'!$H142=Params!$I$3,IFERROR(FIND(BC$1,'NFR repository'!$U142)&gt;0,FALSE)),'NFR repository'!$I142,0)</f>
        <v>0</v>
      </c>
      <c r="BD142" s="231">
        <f>IF(AND('NFR repository'!$H142=Params!$I$3,IFERROR(FIND(BD$1,'NFR repository'!$U142)&gt;0,FALSE)),'NFR repository'!$I142,0)</f>
        <v>0</v>
      </c>
      <c r="BE142" s="93">
        <f>IF(AND('NFR repository'!$H142=Params!$I$3,IFERROR(FIND(BE$1,'NFR repository'!$U142)&gt;0,FALSE)),'NFR repository'!$I142,0)</f>
        <v>0</v>
      </c>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row>
    <row r="143" spans="1:84" ht="60" x14ac:dyDescent="0.25">
      <c r="A143" s="1"/>
      <c r="B143" s="193" t="s">
        <v>256</v>
      </c>
      <c r="C143" s="194" t="s">
        <v>795</v>
      </c>
      <c r="D143" s="36" t="s">
        <v>137</v>
      </c>
      <c r="E143" s="36"/>
      <c r="F143" s="35" t="s">
        <v>166</v>
      </c>
      <c r="G143" s="51" t="s">
        <v>741</v>
      </c>
      <c r="H143" s="35" t="s">
        <v>472</v>
      </c>
      <c r="I143" s="72" t="s">
        <v>41</v>
      </c>
      <c r="J143" s="215"/>
      <c r="K143" s="215"/>
      <c r="L143" s="195"/>
      <c r="M143" s="51" t="s">
        <v>130</v>
      </c>
      <c r="N143" s="51" t="s">
        <v>141</v>
      </c>
      <c r="O143" s="51" t="s">
        <v>576</v>
      </c>
      <c r="P143" s="51" t="s">
        <v>576</v>
      </c>
      <c r="Q143" s="51" t="s">
        <v>46</v>
      </c>
      <c r="R143" s="51" t="s">
        <v>46</v>
      </c>
      <c r="S143" s="35" t="s">
        <v>46</v>
      </c>
      <c r="T143" s="35" t="s">
        <v>46</v>
      </c>
      <c r="U143" s="35" t="s">
        <v>714</v>
      </c>
      <c r="V143" s="35" t="s">
        <v>145</v>
      </c>
      <c r="W143" s="3"/>
      <c r="X143" s="3"/>
      <c r="Y143" s="3"/>
      <c r="Z143" s="3"/>
      <c r="AA143" s="3"/>
      <c r="AB143" s="3"/>
      <c r="AC143" s="3"/>
      <c r="AD143" s="3"/>
      <c r="AE143" s="3"/>
      <c r="AF143" s="3"/>
      <c r="AG143" s="3"/>
      <c r="AH143" s="3"/>
      <c r="AI143" s="3"/>
      <c r="AJ143" s="3"/>
      <c r="AK143" s="3"/>
      <c r="AL143" s="3"/>
      <c r="AM143" s="3"/>
      <c r="AN143" s="3"/>
      <c r="AO143" s="3"/>
      <c r="AP143" s="3"/>
      <c r="AQ143" s="3"/>
      <c r="AR143" s="2"/>
      <c r="AS143" s="92" t="e">
        <f ca="1">IF(AND('NFR repository'!H143=Params!$I$3,INDIRECT("'NFR repository'!L" &amp; ROW('NFR repository'!A143) &amp; "C" &amp; TEXT(24 + $AS$2,"0"),FALSE)&lt;&gt;""),'NFR repository'!I143,0)</f>
        <v>#REF!</v>
      </c>
      <c r="AT143" s="168" t="e">
        <f ca="1">IF(AND('NFR repository'!H143=Params!$I$3,INDIRECT("'NFR repository'!L" &amp; ROW('NFR repository'!R143) &amp; "C" &amp; TEXT(28 + $AT$2,"0"),FALSE)&lt;&gt;""),'NFR repository'!I143,0)</f>
        <v>#REF!</v>
      </c>
      <c r="AU143" s="168" t="e">
        <f ca="1">IF(AND('NFR repository'!H143=Params!$I$3,INDIRECT("'NFR repository'!L" &amp; ROW('NFR repository'!R143) &amp; "C" &amp; TEXT(32 + $AU$2,"0"),FALSE)&lt;&gt;""),'NFR repository'!I143,0)</f>
        <v>#REF!</v>
      </c>
      <c r="AV143" s="233" t="e">
        <f ca="1">IF(AND('NFR repository'!H143=Params!$I$3,INDIRECT("'NFR repository'!L" &amp; ROW('NFR repository'!R143) &amp; "C" &amp; TEXT(36 + $AV$2,"0"),FALSE)&lt;&gt;""),'NFR repository'!I143,0)</f>
        <v>#REF!</v>
      </c>
      <c r="AW143" s="92">
        <f>IF(AND('NFR repository'!$H143=Params!$I$3,IFERROR(FIND(AW$1,'NFR repository'!$U143)&gt;0,FALSE)),'NFR repository'!$I143,0)</f>
        <v>0</v>
      </c>
      <c r="AX143" s="231">
        <f>IF(AND('NFR repository'!$H143=Params!$I$3,Synthesis!$I$8&lt;&gt;Params!$B$17,IFERROR(FIND(AX$1,'NFR repository'!$U143)&gt;0,FALSE)),'NFR repository'!$I143,0)</f>
        <v>0</v>
      </c>
      <c r="AY143" s="231">
        <f>IF(AND('NFR repository'!$H143=Params!$I$3,IFERROR(FIND(AY$1,'NFR repository'!$U143)&gt;0,FALSE)),'NFR repository'!$I143,0)</f>
        <v>0</v>
      </c>
      <c r="AZ143" s="231">
        <f>IF(AND('NFR repository'!$H143=Params!$I$3,IFERROR(FIND(AZ$1,'NFR repository'!$U143)&gt;0,FALSE)),'NFR repository'!$I143,0)</f>
        <v>0</v>
      </c>
      <c r="BA143" s="231">
        <f>IF(AND('NFR repository'!$H143=Params!$I$3,IFERROR(FIND(BA$1,'NFR repository'!$U143)&gt;0,FALSE)),'NFR repository'!$I143,0)</f>
        <v>0</v>
      </c>
      <c r="BB143" s="231">
        <f>IF(AND('NFR repository'!$H143=Params!$I$3,IFERROR(FIND(BB$1,'NFR repository'!$U143)&gt;0,FALSE)),'NFR repository'!$I143,0)</f>
        <v>0</v>
      </c>
      <c r="BC143" s="231">
        <f>IF(AND('NFR repository'!$H143=Params!$I$3,IFERROR(FIND(BC$1,'NFR repository'!$U143)&gt;0,FALSE)),'NFR repository'!$I143,0)</f>
        <v>0</v>
      </c>
      <c r="BD143" s="231">
        <f>IF(AND('NFR repository'!$H143=Params!$I$3,IFERROR(FIND(BD$1,'NFR repository'!$U143)&gt;0,FALSE)),'NFR repository'!$I143,0)</f>
        <v>0</v>
      </c>
      <c r="BE143" s="93">
        <f>IF(AND('NFR repository'!$H143=Params!$I$3,IFERROR(FIND(BE$1,'NFR repository'!$U143)&gt;0,FALSE)),'NFR repository'!$I143,0)</f>
        <v>0</v>
      </c>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row>
    <row r="144" spans="1:84" ht="45" x14ac:dyDescent="0.25">
      <c r="A144" s="1"/>
      <c r="B144" s="193" t="s">
        <v>415</v>
      </c>
      <c r="C144" s="194" t="s">
        <v>426</v>
      </c>
      <c r="D144" s="36" t="s">
        <v>137</v>
      </c>
      <c r="E144" s="36"/>
      <c r="F144" s="35" t="s">
        <v>166</v>
      </c>
      <c r="G144" s="78" t="s">
        <v>328</v>
      </c>
      <c r="H144" s="35" t="s">
        <v>472</v>
      </c>
      <c r="I144" s="72" t="s">
        <v>41</v>
      </c>
      <c r="J144" s="215"/>
      <c r="K144" s="215"/>
      <c r="L144" s="195"/>
      <c r="M144" s="51" t="s">
        <v>558</v>
      </c>
      <c r="N144" s="51" t="s">
        <v>558</v>
      </c>
      <c r="O144" s="51" t="s">
        <v>574</v>
      </c>
      <c r="P144" s="51" t="s">
        <v>576</v>
      </c>
      <c r="Q144" s="51" t="s">
        <v>135</v>
      </c>
      <c r="R144" s="51" t="s">
        <v>280</v>
      </c>
      <c r="S144" s="35" t="s">
        <v>760</v>
      </c>
      <c r="T144" s="35" t="s">
        <v>46</v>
      </c>
      <c r="U144" s="35" t="s">
        <v>714</v>
      </c>
      <c r="V144" s="35" t="s">
        <v>11</v>
      </c>
      <c r="W144" s="3"/>
      <c r="X144" s="3"/>
      <c r="Y144" s="3"/>
      <c r="Z144" s="3"/>
      <c r="AA144" s="3"/>
      <c r="AB144" s="3"/>
      <c r="AC144" s="3" t="s">
        <v>128</v>
      </c>
      <c r="AD144" s="3" t="s">
        <v>128</v>
      </c>
      <c r="AE144" s="3"/>
      <c r="AF144" s="3"/>
      <c r="AG144" s="3"/>
      <c r="AH144" s="3"/>
      <c r="AI144" s="11"/>
      <c r="AJ144" s="11"/>
      <c r="AK144" s="11"/>
      <c r="AL144" s="11"/>
      <c r="AM144" s="3"/>
      <c r="AN144" s="3"/>
      <c r="AO144" s="3" t="s">
        <v>128</v>
      </c>
      <c r="AP144" s="3"/>
      <c r="AQ144" s="3"/>
      <c r="AR144" s="2"/>
      <c r="AS144" s="92" t="e">
        <f ca="1">IF(AND('NFR repository'!H144=Params!$I$3,INDIRECT("'NFR repository'!L" &amp; ROW('NFR repository'!A144) &amp; "C" &amp; TEXT(24 + $AS$2,"0"),FALSE)&lt;&gt;""),'NFR repository'!I144,0)</f>
        <v>#REF!</v>
      </c>
      <c r="AT144" s="168" t="e">
        <f ca="1">IF(AND('NFR repository'!H144=Params!$I$3,INDIRECT("'NFR repository'!L" &amp; ROW('NFR repository'!R144) &amp; "C" &amp; TEXT(28 + $AT$2,"0"),FALSE)&lt;&gt;""),'NFR repository'!I144,0)</f>
        <v>#REF!</v>
      </c>
      <c r="AU144" s="168" t="e">
        <f ca="1">IF(AND('NFR repository'!H144=Params!$I$3,INDIRECT("'NFR repository'!L" &amp; ROW('NFR repository'!R144) &amp; "C" &amp; TEXT(32 + $AU$2,"0"),FALSE)&lt;&gt;""),'NFR repository'!I144,0)</f>
        <v>#REF!</v>
      </c>
      <c r="AV144" s="233" t="e">
        <f ca="1">IF(AND('NFR repository'!H144=Params!$I$3,INDIRECT("'NFR repository'!L" &amp; ROW('NFR repository'!R144) &amp; "C" &amp; TEXT(36 + $AV$2,"0"),FALSE)&lt;&gt;""),'NFR repository'!I144,0)</f>
        <v>#REF!</v>
      </c>
      <c r="AW144" s="92">
        <f>IF(AND('NFR repository'!$H144=Params!$I$3,IFERROR(FIND(AW$1,'NFR repository'!$U144)&gt;0,FALSE)),'NFR repository'!$I144,0)</f>
        <v>0</v>
      </c>
      <c r="AX144" s="231">
        <f>IF(AND('NFR repository'!$H144=Params!$I$3,Synthesis!$I$8&lt;&gt;Params!$B$17,IFERROR(FIND(AX$1,'NFR repository'!$U144)&gt;0,FALSE)),'NFR repository'!$I144,0)</f>
        <v>0</v>
      </c>
      <c r="AY144" s="231">
        <f>IF(AND('NFR repository'!$H144=Params!$I$3,IFERROR(FIND(AY$1,'NFR repository'!$U144)&gt;0,FALSE)),'NFR repository'!$I144,0)</f>
        <v>0</v>
      </c>
      <c r="AZ144" s="231">
        <f>IF(AND('NFR repository'!$H144=Params!$I$3,IFERROR(FIND(AZ$1,'NFR repository'!$U144)&gt;0,FALSE)),'NFR repository'!$I144,0)</f>
        <v>0</v>
      </c>
      <c r="BA144" s="231">
        <f>IF(AND('NFR repository'!$H144=Params!$I$3,IFERROR(FIND(BA$1,'NFR repository'!$U144)&gt;0,FALSE)),'NFR repository'!$I144,0)</f>
        <v>0</v>
      </c>
      <c r="BB144" s="231">
        <f>IF(AND('NFR repository'!$H144=Params!$I$3,IFERROR(FIND(BB$1,'NFR repository'!$U144)&gt;0,FALSE)),'NFR repository'!$I144,0)</f>
        <v>0</v>
      </c>
      <c r="BC144" s="231">
        <f>IF(AND('NFR repository'!$H144=Params!$I$3,IFERROR(FIND(BC$1,'NFR repository'!$U144)&gt;0,FALSE)),'NFR repository'!$I144,0)</f>
        <v>0</v>
      </c>
      <c r="BD144" s="231">
        <f>IF(AND('NFR repository'!$H144=Params!$I$3,IFERROR(FIND(BD$1,'NFR repository'!$U144)&gt;0,FALSE)),'NFR repository'!$I144,0)</f>
        <v>0</v>
      </c>
      <c r="BE144" s="93">
        <f>IF(AND('NFR repository'!$H144=Params!$I$3,IFERROR(FIND(BE$1,'NFR repository'!$U144)&gt;0,FALSE)),'NFR repository'!$I144,0)</f>
        <v>0</v>
      </c>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row>
    <row r="145" spans="1:84" ht="45" x14ac:dyDescent="0.25">
      <c r="A145" s="1"/>
      <c r="B145" s="193" t="s">
        <v>417</v>
      </c>
      <c r="C145" s="194" t="s">
        <v>427</v>
      </c>
      <c r="D145" s="36" t="s">
        <v>137</v>
      </c>
      <c r="E145" s="36"/>
      <c r="F145" s="35" t="s">
        <v>166</v>
      </c>
      <c r="G145" s="78" t="s">
        <v>328</v>
      </c>
      <c r="H145" s="35" t="s">
        <v>472</v>
      </c>
      <c r="I145" s="72" t="s">
        <v>41</v>
      </c>
      <c r="J145" s="215"/>
      <c r="K145" s="215"/>
      <c r="L145" s="195"/>
      <c r="M145" s="51" t="s">
        <v>558</v>
      </c>
      <c r="N145" s="51" t="s">
        <v>558</v>
      </c>
      <c r="O145" s="51" t="s">
        <v>574</v>
      </c>
      <c r="P145" s="51" t="s">
        <v>576</v>
      </c>
      <c r="Q145" s="51" t="s">
        <v>135</v>
      </c>
      <c r="R145" s="51" t="s">
        <v>280</v>
      </c>
      <c r="S145" s="35" t="s">
        <v>760</v>
      </c>
      <c r="T145" s="35" t="s">
        <v>46</v>
      </c>
      <c r="U145" s="35" t="s">
        <v>633</v>
      </c>
      <c r="V145" s="35" t="s">
        <v>11</v>
      </c>
      <c r="W145" s="3"/>
      <c r="X145" s="3"/>
      <c r="Y145" s="3"/>
      <c r="Z145" s="3"/>
      <c r="AA145" s="3"/>
      <c r="AB145" s="3"/>
      <c r="AC145" s="3"/>
      <c r="AD145" s="3"/>
      <c r="AE145" s="3"/>
      <c r="AF145" s="3"/>
      <c r="AG145" s="3" t="s">
        <v>128</v>
      </c>
      <c r="AH145" s="3" t="s">
        <v>128</v>
      </c>
      <c r="AI145" s="11"/>
      <c r="AJ145" s="11"/>
      <c r="AK145" s="11"/>
      <c r="AL145" s="11"/>
      <c r="AM145" s="3"/>
      <c r="AN145" s="3"/>
      <c r="AO145" s="3"/>
      <c r="AP145" s="3"/>
      <c r="AQ145" s="3"/>
      <c r="AR145" s="2"/>
      <c r="AS145" s="92" t="e">
        <f ca="1">IF(AND('NFR repository'!H145=Params!$I$3,INDIRECT("'NFR repository'!L" &amp; ROW('NFR repository'!A145) &amp; "C" &amp; TEXT(24 + $AS$2,"0"),FALSE)&lt;&gt;""),'NFR repository'!I145,0)</f>
        <v>#REF!</v>
      </c>
      <c r="AT145" s="168" t="e">
        <f ca="1">IF(AND('NFR repository'!H145=Params!$I$3,INDIRECT("'NFR repository'!L" &amp; ROW('NFR repository'!R145) &amp; "C" &amp; TEXT(28 + $AT$2,"0"),FALSE)&lt;&gt;""),'NFR repository'!I145,0)</f>
        <v>#REF!</v>
      </c>
      <c r="AU145" s="168" t="e">
        <f ca="1">IF(AND('NFR repository'!H145=Params!$I$3,INDIRECT("'NFR repository'!L" &amp; ROW('NFR repository'!R145) &amp; "C" &amp; TEXT(32 + $AU$2,"0"),FALSE)&lt;&gt;""),'NFR repository'!I145,0)</f>
        <v>#REF!</v>
      </c>
      <c r="AV145" s="233" t="e">
        <f ca="1">IF(AND('NFR repository'!H145=Params!$I$3,INDIRECT("'NFR repository'!L" &amp; ROW('NFR repository'!R145) &amp; "C" &amp; TEXT(36 + $AV$2,"0"),FALSE)&lt;&gt;""),'NFR repository'!I145,0)</f>
        <v>#REF!</v>
      </c>
      <c r="AW145" s="92">
        <f>IF(AND('NFR repository'!$H145=Params!$I$3,IFERROR(FIND(AW$1,'NFR repository'!$U145)&gt;0,FALSE)),'NFR repository'!$I145,0)</f>
        <v>0</v>
      </c>
      <c r="AX145" s="231">
        <f>IF(AND('NFR repository'!$H145=Params!$I$3,Synthesis!$I$8&lt;&gt;Params!$B$17,IFERROR(FIND(AX$1,'NFR repository'!$U145)&gt;0,FALSE)),'NFR repository'!$I145,0)</f>
        <v>0</v>
      </c>
      <c r="AY145" s="231">
        <f>IF(AND('NFR repository'!$H145=Params!$I$3,IFERROR(FIND(AY$1,'NFR repository'!$U145)&gt;0,FALSE)),'NFR repository'!$I145,0)</f>
        <v>0</v>
      </c>
      <c r="AZ145" s="231">
        <f>IF(AND('NFR repository'!$H145=Params!$I$3,IFERROR(FIND(AZ$1,'NFR repository'!$U145)&gt;0,FALSE)),'NFR repository'!$I145,0)</f>
        <v>0</v>
      </c>
      <c r="BA145" s="231">
        <f>IF(AND('NFR repository'!$H145=Params!$I$3,IFERROR(FIND(BA$1,'NFR repository'!$U145)&gt;0,FALSE)),'NFR repository'!$I145,0)</f>
        <v>0</v>
      </c>
      <c r="BB145" s="231">
        <f>IF(AND('NFR repository'!$H145=Params!$I$3,IFERROR(FIND(BB$1,'NFR repository'!$U145)&gt;0,FALSE)),'NFR repository'!$I145,0)</f>
        <v>0</v>
      </c>
      <c r="BC145" s="231">
        <f>IF(AND('NFR repository'!$H145=Params!$I$3,IFERROR(FIND(BC$1,'NFR repository'!$U145)&gt;0,FALSE)),'NFR repository'!$I145,0)</f>
        <v>0</v>
      </c>
      <c r="BD145" s="231">
        <f>IF(AND('NFR repository'!$H145=Params!$I$3,IFERROR(FIND(BD$1,'NFR repository'!$U145)&gt;0,FALSE)),'NFR repository'!$I145,0)</f>
        <v>0</v>
      </c>
      <c r="BE145" s="93">
        <f>IF(AND('NFR repository'!$H145=Params!$I$3,IFERROR(FIND(BE$1,'NFR repository'!$U145)&gt;0,FALSE)),'NFR repository'!$I145,0)</f>
        <v>0</v>
      </c>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row>
    <row r="146" spans="1:84" ht="45" x14ac:dyDescent="0.25">
      <c r="A146" s="1"/>
      <c r="B146" s="193" t="s">
        <v>418</v>
      </c>
      <c r="C146" s="194" t="s">
        <v>428</v>
      </c>
      <c r="D146" s="36" t="s">
        <v>137</v>
      </c>
      <c r="E146" s="36"/>
      <c r="F146" s="35" t="s">
        <v>166</v>
      </c>
      <c r="G146" s="78" t="s">
        <v>328</v>
      </c>
      <c r="H146" s="35" t="s">
        <v>472</v>
      </c>
      <c r="I146" s="72" t="s">
        <v>41</v>
      </c>
      <c r="J146" s="215"/>
      <c r="K146" s="215"/>
      <c r="L146" s="195"/>
      <c r="M146" s="51" t="s">
        <v>558</v>
      </c>
      <c r="N146" s="51" t="s">
        <v>558</v>
      </c>
      <c r="O146" s="51" t="s">
        <v>574</v>
      </c>
      <c r="P146" s="51" t="s">
        <v>576</v>
      </c>
      <c r="Q146" s="51" t="s">
        <v>135</v>
      </c>
      <c r="R146" s="51" t="s">
        <v>280</v>
      </c>
      <c r="S146" s="35" t="s">
        <v>760</v>
      </c>
      <c r="T146" s="35" t="s">
        <v>46</v>
      </c>
      <c r="U146" s="35" t="s">
        <v>717</v>
      </c>
      <c r="V146" s="35" t="s">
        <v>11</v>
      </c>
      <c r="W146" s="3"/>
      <c r="X146" s="3"/>
      <c r="Y146" s="3" t="s">
        <v>128</v>
      </c>
      <c r="Z146" s="3" t="s">
        <v>128</v>
      </c>
      <c r="AA146" s="3"/>
      <c r="AB146" s="3"/>
      <c r="AC146" s="3" t="s">
        <v>128</v>
      </c>
      <c r="AD146" s="3" t="s">
        <v>128</v>
      </c>
      <c r="AE146" s="3"/>
      <c r="AF146" s="3"/>
      <c r="AG146" s="3" t="s">
        <v>128</v>
      </c>
      <c r="AH146" s="3" t="s">
        <v>128</v>
      </c>
      <c r="AI146" s="3"/>
      <c r="AJ146" s="3"/>
      <c r="AK146" s="3"/>
      <c r="AL146" s="3"/>
      <c r="AM146" s="3"/>
      <c r="AN146" s="3"/>
      <c r="AO146" s="3" t="s">
        <v>128</v>
      </c>
      <c r="AP146" s="3"/>
      <c r="AQ146" s="3"/>
      <c r="AR146" s="2"/>
      <c r="AS146" s="92" t="e">
        <f ca="1">IF(AND('NFR repository'!H146=Params!$I$3,INDIRECT("'NFR repository'!L" &amp; ROW('NFR repository'!A146) &amp; "C" &amp; TEXT(24 + $AS$2,"0"),FALSE)&lt;&gt;""),'NFR repository'!I146,0)</f>
        <v>#REF!</v>
      </c>
      <c r="AT146" s="168" t="e">
        <f ca="1">IF(AND('NFR repository'!H146=Params!$I$3,INDIRECT("'NFR repository'!L" &amp; ROW('NFR repository'!R146) &amp; "C" &amp; TEXT(28 + $AT$2,"0"),FALSE)&lt;&gt;""),'NFR repository'!I146,0)</f>
        <v>#REF!</v>
      </c>
      <c r="AU146" s="168" t="e">
        <f ca="1">IF(AND('NFR repository'!H146=Params!$I$3,INDIRECT("'NFR repository'!L" &amp; ROW('NFR repository'!R146) &amp; "C" &amp; TEXT(32 + $AU$2,"0"),FALSE)&lt;&gt;""),'NFR repository'!I146,0)</f>
        <v>#REF!</v>
      </c>
      <c r="AV146" s="233" t="e">
        <f ca="1">IF(AND('NFR repository'!H146=Params!$I$3,INDIRECT("'NFR repository'!L" &amp; ROW('NFR repository'!R146) &amp; "C" &amp; TEXT(36 + $AV$2,"0"),FALSE)&lt;&gt;""),'NFR repository'!I146,0)</f>
        <v>#REF!</v>
      </c>
      <c r="AW146" s="92">
        <f>IF(AND('NFR repository'!$H146=Params!$I$3,IFERROR(FIND(AW$1,'NFR repository'!$U146)&gt;0,FALSE)),'NFR repository'!$I146,0)</f>
        <v>0</v>
      </c>
      <c r="AX146" s="231">
        <f>IF(AND('NFR repository'!$H146=Params!$I$3,Synthesis!$I$8&lt;&gt;Params!$B$17,IFERROR(FIND(AX$1,'NFR repository'!$U146)&gt;0,FALSE)),'NFR repository'!$I146,0)</f>
        <v>0</v>
      </c>
      <c r="AY146" s="231">
        <f>IF(AND('NFR repository'!$H146=Params!$I$3,IFERROR(FIND(AY$1,'NFR repository'!$U146)&gt;0,FALSE)),'NFR repository'!$I146,0)</f>
        <v>0</v>
      </c>
      <c r="AZ146" s="231">
        <f>IF(AND('NFR repository'!$H146=Params!$I$3,IFERROR(FIND(AZ$1,'NFR repository'!$U146)&gt;0,FALSE)),'NFR repository'!$I146,0)</f>
        <v>0</v>
      </c>
      <c r="BA146" s="231">
        <f>IF(AND('NFR repository'!$H146=Params!$I$3,IFERROR(FIND(BA$1,'NFR repository'!$U146)&gt;0,FALSE)),'NFR repository'!$I146,0)</f>
        <v>0</v>
      </c>
      <c r="BB146" s="231">
        <f>IF(AND('NFR repository'!$H146=Params!$I$3,IFERROR(FIND(BB$1,'NFR repository'!$U146)&gt;0,FALSE)),'NFR repository'!$I146,0)</f>
        <v>0</v>
      </c>
      <c r="BC146" s="231">
        <f>IF(AND('NFR repository'!$H146=Params!$I$3,IFERROR(FIND(BC$1,'NFR repository'!$U146)&gt;0,FALSE)),'NFR repository'!$I146,0)</f>
        <v>0</v>
      </c>
      <c r="BD146" s="231">
        <f>IF(AND('NFR repository'!$H146=Params!$I$3,IFERROR(FIND(BD$1,'NFR repository'!$U146)&gt;0,FALSE)),'NFR repository'!$I146,0)</f>
        <v>0</v>
      </c>
      <c r="BE146" s="93">
        <f>IF(AND('NFR repository'!$H146=Params!$I$3,IFERROR(FIND(BE$1,'NFR repository'!$U146)&gt;0,FALSE)),'NFR repository'!$I146,0)</f>
        <v>0</v>
      </c>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row>
    <row r="147" spans="1:84" ht="60" x14ac:dyDescent="0.25">
      <c r="A147" s="1"/>
      <c r="B147" s="193" t="s">
        <v>419</v>
      </c>
      <c r="C147" s="194" t="s">
        <v>429</v>
      </c>
      <c r="D147" s="36" t="s">
        <v>137</v>
      </c>
      <c r="E147" s="36"/>
      <c r="F147" s="35" t="s">
        <v>166</v>
      </c>
      <c r="G147" s="78" t="s">
        <v>328</v>
      </c>
      <c r="H147" s="35" t="s">
        <v>472</v>
      </c>
      <c r="I147" s="72" t="s">
        <v>41</v>
      </c>
      <c r="J147" s="215"/>
      <c r="K147" s="215"/>
      <c r="L147" s="195"/>
      <c r="M147" s="51" t="s">
        <v>558</v>
      </c>
      <c r="N147" s="51" t="s">
        <v>558</v>
      </c>
      <c r="O147" s="51" t="s">
        <v>574</v>
      </c>
      <c r="P147" s="51" t="s">
        <v>576</v>
      </c>
      <c r="Q147" s="51" t="s">
        <v>135</v>
      </c>
      <c r="R147" s="51" t="s">
        <v>280</v>
      </c>
      <c r="S147" s="35" t="s">
        <v>760</v>
      </c>
      <c r="T147" s="35" t="s">
        <v>46</v>
      </c>
      <c r="U147" s="35" t="s">
        <v>717</v>
      </c>
      <c r="V147" s="35" t="s">
        <v>11</v>
      </c>
      <c r="W147" s="11"/>
      <c r="X147" s="11"/>
      <c r="Y147" s="11" t="s">
        <v>128</v>
      </c>
      <c r="Z147" s="11" t="s">
        <v>128</v>
      </c>
      <c r="AA147" s="11"/>
      <c r="AB147" s="11"/>
      <c r="AC147" s="11" t="s">
        <v>128</v>
      </c>
      <c r="AD147" s="11"/>
      <c r="AE147" s="11"/>
      <c r="AF147" s="11"/>
      <c r="AG147" s="11" t="s">
        <v>128</v>
      </c>
      <c r="AH147" s="11"/>
      <c r="AI147" s="11"/>
      <c r="AJ147" s="11"/>
      <c r="AK147" s="11"/>
      <c r="AL147" s="11"/>
      <c r="AM147" s="11"/>
      <c r="AN147" s="11"/>
      <c r="AO147" s="3" t="s">
        <v>128</v>
      </c>
      <c r="AP147" s="11">
        <v>4</v>
      </c>
      <c r="AQ147" s="11">
        <v>1</v>
      </c>
      <c r="AR147" s="2"/>
      <c r="AS147" s="92" t="e">
        <f ca="1">IF(AND('NFR repository'!H147=Params!$I$3,INDIRECT("'NFR repository'!L" &amp; ROW('NFR repository'!A147) &amp; "C" &amp; TEXT(24 + $AS$2,"0"),FALSE)&lt;&gt;""),'NFR repository'!I147,0)</f>
        <v>#REF!</v>
      </c>
      <c r="AT147" s="168" t="e">
        <f ca="1">IF(AND('NFR repository'!H147=Params!$I$3,INDIRECT("'NFR repository'!L" &amp; ROW('NFR repository'!R147) &amp; "C" &amp; TEXT(28 + $AT$2,"0"),FALSE)&lt;&gt;""),'NFR repository'!I147,0)</f>
        <v>#REF!</v>
      </c>
      <c r="AU147" s="168" t="e">
        <f ca="1">IF(AND('NFR repository'!H147=Params!$I$3,INDIRECT("'NFR repository'!L" &amp; ROW('NFR repository'!R147) &amp; "C" &amp; TEXT(32 + $AU$2,"0"),FALSE)&lt;&gt;""),'NFR repository'!I147,0)</f>
        <v>#REF!</v>
      </c>
      <c r="AV147" s="233" t="e">
        <f ca="1">IF(AND('NFR repository'!H147=Params!$I$3,INDIRECT("'NFR repository'!L" &amp; ROW('NFR repository'!R147) &amp; "C" &amp; TEXT(36 + $AV$2,"0"),FALSE)&lt;&gt;""),'NFR repository'!I147,0)</f>
        <v>#REF!</v>
      </c>
      <c r="AW147" s="92">
        <f>IF(AND('NFR repository'!$H147=Params!$I$3,IFERROR(FIND(AW$1,'NFR repository'!$U147)&gt;0,FALSE)),'NFR repository'!$I147,0)</f>
        <v>0</v>
      </c>
      <c r="AX147" s="231">
        <f>IF(AND('NFR repository'!$H147=Params!$I$3,Synthesis!$I$8&lt;&gt;Params!$B$17,IFERROR(FIND(AX$1,'NFR repository'!$U147)&gt;0,FALSE)),'NFR repository'!$I147,0)</f>
        <v>0</v>
      </c>
      <c r="AY147" s="231">
        <f>IF(AND('NFR repository'!$H147=Params!$I$3,IFERROR(FIND(AY$1,'NFR repository'!$U147)&gt;0,FALSE)),'NFR repository'!$I147,0)</f>
        <v>0</v>
      </c>
      <c r="AZ147" s="231">
        <f>IF(AND('NFR repository'!$H147=Params!$I$3,IFERROR(FIND(AZ$1,'NFR repository'!$U147)&gt;0,FALSE)),'NFR repository'!$I147,0)</f>
        <v>0</v>
      </c>
      <c r="BA147" s="231">
        <f>IF(AND('NFR repository'!$H147=Params!$I$3,IFERROR(FIND(BA$1,'NFR repository'!$U147)&gt;0,FALSE)),'NFR repository'!$I147,0)</f>
        <v>0</v>
      </c>
      <c r="BB147" s="231">
        <f>IF(AND('NFR repository'!$H147=Params!$I$3,IFERROR(FIND(BB$1,'NFR repository'!$U147)&gt;0,FALSE)),'NFR repository'!$I147,0)</f>
        <v>0</v>
      </c>
      <c r="BC147" s="231">
        <f>IF(AND('NFR repository'!$H147=Params!$I$3,IFERROR(FIND(BC$1,'NFR repository'!$U147)&gt;0,FALSE)),'NFR repository'!$I147,0)</f>
        <v>0</v>
      </c>
      <c r="BD147" s="231">
        <f>IF(AND('NFR repository'!$H147=Params!$I$3,IFERROR(FIND(BD$1,'NFR repository'!$U147)&gt;0,FALSE)),'NFR repository'!$I147,0)</f>
        <v>0</v>
      </c>
      <c r="BE147" s="93">
        <f>IF(AND('NFR repository'!$H147=Params!$I$3,IFERROR(FIND(BE$1,'NFR repository'!$U147)&gt;0,FALSE)),'NFR repository'!$I147,0)</f>
        <v>0</v>
      </c>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row>
    <row r="148" spans="1:84" ht="60" x14ac:dyDescent="0.25">
      <c r="A148" s="1"/>
      <c r="B148" s="193" t="s">
        <v>416</v>
      </c>
      <c r="C148" s="194" t="s">
        <v>430</v>
      </c>
      <c r="D148" s="36" t="s">
        <v>137</v>
      </c>
      <c r="E148" s="36"/>
      <c r="F148" s="35" t="s">
        <v>166</v>
      </c>
      <c r="G148" s="78" t="s">
        <v>328</v>
      </c>
      <c r="H148" s="35" t="s">
        <v>472</v>
      </c>
      <c r="I148" s="72" t="s">
        <v>41</v>
      </c>
      <c r="J148" s="215"/>
      <c r="K148" s="215"/>
      <c r="L148" s="195"/>
      <c r="M148" s="51" t="s">
        <v>558</v>
      </c>
      <c r="N148" s="51" t="s">
        <v>558</v>
      </c>
      <c r="O148" s="51" t="s">
        <v>574</v>
      </c>
      <c r="P148" s="51" t="s">
        <v>576</v>
      </c>
      <c r="Q148" s="51" t="s">
        <v>135</v>
      </c>
      <c r="R148" s="51" t="s">
        <v>280</v>
      </c>
      <c r="S148" s="35" t="s">
        <v>760</v>
      </c>
      <c r="T148" s="35" t="s">
        <v>46</v>
      </c>
      <c r="U148" s="35" t="s">
        <v>633</v>
      </c>
      <c r="V148" s="35" t="s">
        <v>11</v>
      </c>
      <c r="W148" s="11"/>
      <c r="X148" s="11"/>
      <c r="Y148" s="11"/>
      <c r="Z148" s="11"/>
      <c r="AA148" s="11"/>
      <c r="AB148" s="11"/>
      <c r="AC148" s="11"/>
      <c r="AD148" s="11" t="s">
        <v>128</v>
      </c>
      <c r="AE148" s="11"/>
      <c r="AF148" s="11"/>
      <c r="AG148" s="11"/>
      <c r="AH148" s="11" t="s">
        <v>128</v>
      </c>
      <c r="AI148" s="11"/>
      <c r="AJ148" s="11"/>
      <c r="AK148" s="11"/>
      <c r="AL148" s="11"/>
      <c r="AM148" s="11"/>
      <c r="AN148" s="11"/>
      <c r="AO148" s="3"/>
      <c r="AP148" s="11">
        <v>4</v>
      </c>
      <c r="AQ148" s="11">
        <v>2</v>
      </c>
      <c r="AR148" s="2"/>
      <c r="AS148" s="92" t="e">
        <f ca="1">IF(AND('NFR repository'!H148=Params!$I$3,INDIRECT("'NFR repository'!L" &amp; ROW('NFR repository'!A148) &amp; "C" &amp; TEXT(24 + $AS$2,"0"),FALSE)&lt;&gt;""),'NFR repository'!I148,0)</f>
        <v>#REF!</v>
      </c>
      <c r="AT148" s="168" t="e">
        <f ca="1">IF(AND('NFR repository'!H148=Params!$I$3,INDIRECT("'NFR repository'!L" &amp; ROW('NFR repository'!R148) &amp; "C" &amp; TEXT(28 + $AT$2,"0"),FALSE)&lt;&gt;""),'NFR repository'!I148,0)</f>
        <v>#REF!</v>
      </c>
      <c r="AU148" s="168" t="e">
        <f ca="1">IF(AND('NFR repository'!H148=Params!$I$3,INDIRECT("'NFR repository'!L" &amp; ROW('NFR repository'!R148) &amp; "C" &amp; TEXT(32 + $AU$2,"0"),FALSE)&lt;&gt;""),'NFR repository'!I148,0)</f>
        <v>#REF!</v>
      </c>
      <c r="AV148" s="233" t="e">
        <f ca="1">IF(AND('NFR repository'!H148=Params!$I$3,INDIRECT("'NFR repository'!L" &amp; ROW('NFR repository'!R148) &amp; "C" &amp; TEXT(36 + $AV$2,"0"),FALSE)&lt;&gt;""),'NFR repository'!I148,0)</f>
        <v>#REF!</v>
      </c>
      <c r="AW148" s="92">
        <f>IF(AND('NFR repository'!$H148=Params!$I$3,IFERROR(FIND(AW$1,'NFR repository'!$U148)&gt;0,FALSE)),'NFR repository'!$I148,0)</f>
        <v>0</v>
      </c>
      <c r="AX148" s="231">
        <f>IF(AND('NFR repository'!$H148=Params!$I$3,Synthesis!$I$8&lt;&gt;Params!$B$17,IFERROR(FIND(AX$1,'NFR repository'!$U148)&gt;0,FALSE)),'NFR repository'!$I148,0)</f>
        <v>0</v>
      </c>
      <c r="AY148" s="231">
        <f>IF(AND('NFR repository'!$H148=Params!$I$3,IFERROR(FIND(AY$1,'NFR repository'!$U148)&gt;0,FALSE)),'NFR repository'!$I148,0)</f>
        <v>0</v>
      </c>
      <c r="AZ148" s="231">
        <f>IF(AND('NFR repository'!$H148=Params!$I$3,IFERROR(FIND(AZ$1,'NFR repository'!$U148)&gt;0,FALSE)),'NFR repository'!$I148,0)</f>
        <v>0</v>
      </c>
      <c r="BA148" s="231">
        <f>IF(AND('NFR repository'!$H148=Params!$I$3,IFERROR(FIND(BA$1,'NFR repository'!$U148)&gt;0,FALSE)),'NFR repository'!$I148,0)</f>
        <v>0</v>
      </c>
      <c r="BB148" s="231">
        <f>IF(AND('NFR repository'!$H148=Params!$I$3,IFERROR(FIND(BB$1,'NFR repository'!$U148)&gt;0,FALSE)),'NFR repository'!$I148,0)</f>
        <v>0</v>
      </c>
      <c r="BC148" s="231">
        <f>IF(AND('NFR repository'!$H148=Params!$I$3,IFERROR(FIND(BC$1,'NFR repository'!$U148)&gt;0,FALSE)),'NFR repository'!$I148,0)</f>
        <v>0</v>
      </c>
      <c r="BD148" s="231">
        <f>IF(AND('NFR repository'!$H148=Params!$I$3,IFERROR(FIND(BD$1,'NFR repository'!$U148)&gt;0,FALSE)),'NFR repository'!$I148,0)</f>
        <v>0</v>
      </c>
      <c r="BE148" s="93">
        <f>IF(AND('NFR repository'!$H148=Params!$I$3,IFERROR(FIND(BE$1,'NFR repository'!$U148)&gt;0,FALSE)),'NFR repository'!$I148,0)</f>
        <v>0</v>
      </c>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row>
    <row r="149" spans="1:84" ht="45" x14ac:dyDescent="0.25">
      <c r="A149" s="1"/>
      <c r="B149" s="210" t="s">
        <v>713</v>
      </c>
      <c r="C149" s="204" t="s">
        <v>761</v>
      </c>
      <c r="D149" s="87" t="s">
        <v>137</v>
      </c>
      <c r="E149" s="87"/>
      <c r="F149" s="38" t="s">
        <v>166</v>
      </c>
      <c r="G149" s="78" t="s">
        <v>328</v>
      </c>
      <c r="H149" s="38" t="s">
        <v>472</v>
      </c>
      <c r="I149" s="227" t="s">
        <v>41</v>
      </c>
      <c r="J149" s="228"/>
      <c r="K149" s="228"/>
      <c r="L149" s="201"/>
      <c r="M149" s="78" t="s">
        <v>558</v>
      </c>
      <c r="N149" s="78" t="s">
        <v>762</v>
      </c>
      <c r="O149" s="78" t="s">
        <v>574</v>
      </c>
      <c r="P149" s="78" t="s">
        <v>576</v>
      </c>
      <c r="Q149" s="78" t="s">
        <v>280</v>
      </c>
      <c r="R149" s="78" t="s">
        <v>280</v>
      </c>
      <c r="S149" s="38" t="s">
        <v>760</v>
      </c>
      <c r="T149" s="38" t="s">
        <v>46</v>
      </c>
      <c r="U149" s="38" t="s">
        <v>11</v>
      </c>
      <c r="V149" s="38" t="s">
        <v>11</v>
      </c>
      <c r="W149" s="11"/>
      <c r="X149" s="11"/>
      <c r="Y149" s="11"/>
      <c r="Z149" s="11" t="s">
        <v>128</v>
      </c>
      <c r="AA149" s="11"/>
      <c r="AB149" s="11"/>
      <c r="AC149" s="11"/>
      <c r="AD149" s="11" t="s">
        <v>128</v>
      </c>
      <c r="AE149" s="11"/>
      <c r="AF149" s="11"/>
      <c r="AG149" s="11"/>
      <c r="AH149" s="11" t="s">
        <v>128</v>
      </c>
      <c r="AI149" s="11"/>
      <c r="AJ149" s="11"/>
      <c r="AK149" s="11"/>
      <c r="AL149" s="11"/>
      <c r="AM149" s="11"/>
      <c r="AN149" s="11"/>
      <c r="AO149" s="11"/>
      <c r="AP149" s="11"/>
      <c r="AQ149" s="11"/>
      <c r="AR149" s="2"/>
      <c r="AS149" s="92" t="e">
        <f ca="1">IF(AND('NFR repository'!H149=Params!$I$3,INDIRECT("'NFR repository'!L" &amp; ROW('NFR repository'!A149) &amp; "C" &amp; TEXT(24 + $AS$2,"0"),FALSE)&lt;&gt;""),'NFR repository'!I149,0)</f>
        <v>#REF!</v>
      </c>
      <c r="AT149" s="224" t="e">
        <f ca="1">IF(AND('NFR repository'!H149=Params!$I$3,INDIRECT("'NFR repository'!L" &amp; ROW('NFR repository'!R149) &amp; "C" &amp; TEXT(28 + $AT$2,"0"),FALSE)&lt;&gt;""),'NFR repository'!I149,0)</f>
        <v>#REF!</v>
      </c>
      <c r="AU149" s="224" t="e">
        <f ca="1">IF(AND('NFR repository'!H149=Params!$I$3,INDIRECT("'NFR repository'!L" &amp; ROW('NFR repository'!R149) &amp; "C" &amp; TEXT(32 + $AU$2,"0"),FALSE)&lt;&gt;""),'NFR repository'!I149,0)</f>
        <v>#REF!</v>
      </c>
      <c r="AV149" s="233" t="e">
        <f ca="1">IF(AND('NFR repository'!H149=Params!$I$3,INDIRECT("'NFR repository'!L" &amp; ROW('NFR repository'!R149) &amp; "C" &amp; TEXT(36 + $AV$2,"0"),FALSE)&lt;&gt;""),'NFR repository'!I149,0)</f>
        <v>#REF!</v>
      </c>
      <c r="AW149" s="92">
        <f>IF(AND('NFR repository'!$H149=Params!$I$3,IFERROR(FIND(AW$1,'NFR repository'!$U149)&gt;0,FALSE)),'NFR repository'!$I149,0)</f>
        <v>0</v>
      </c>
      <c r="AX149" s="231">
        <f>IF(AND('NFR repository'!$H149=Params!$I$3,Synthesis!$I$8&lt;&gt;Params!$B$17,IFERROR(FIND(AX$1,'NFR repository'!$U149)&gt;0,FALSE)),'NFR repository'!$I149,0)</f>
        <v>0</v>
      </c>
      <c r="AY149" s="231">
        <f>IF(AND('NFR repository'!$H149=Params!$I$3,IFERROR(FIND(AY$1,'NFR repository'!$U149)&gt;0,FALSE)),'NFR repository'!$I149,0)</f>
        <v>0</v>
      </c>
      <c r="AZ149" s="231">
        <f>IF(AND('NFR repository'!$H149=Params!$I$3,IFERROR(FIND(AZ$1,'NFR repository'!$U149)&gt;0,FALSE)),'NFR repository'!$I149,0)</f>
        <v>0</v>
      </c>
      <c r="BA149" s="231">
        <f>IF(AND('NFR repository'!$H149=Params!$I$3,IFERROR(FIND(BA$1,'NFR repository'!$U149)&gt;0,FALSE)),'NFR repository'!$I149,0)</f>
        <v>0</v>
      </c>
      <c r="BB149" s="231">
        <f>IF(AND('NFR repository'!$H149=Params!$I$3,IFERROR(FIND(BB$1,'NFR repository'!$U149)&gt;0,FALSE)),'NFR repository'!$I149,0)</f>
        <v>0</v>
      </c>
      <c r="BC149" s="231">
        <f>IF(AND('NFR repository'!$H149=Params!$I$3,IFERROR(FIND(BC$1,'NFR repository'!$U149)&gt;0,FALSE)),'NFR repository'!$I149,0)</f>
        <v>0</v>
      </c>
      <c r="BD149" s="231">
        <f>IF(AND('NFR repository'!$H149=Params!$I$3,IFERROR(FIND(BD$1,'NFR repository'!$U149)&gt;0,FALSE)),'NFR repository'!$I149,0)</f>
        <v>0</v>
      </c>
      <c r="BE149" s="93">
        <f>IF(AND('NFR repository'!$H149=Params!$I$3,IFERROR(FIND(BE$1,'NFR repository'!$U149)&gt;0,FALSE)),'NFR repository'!$I149,0)</f>
        <v>0</v>
      </c>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row>
    <row r="150" spans="1:84" ht="30" x14ac:dyDescent="0.25">
      <c r="A150" s="1"/>
      <c r="B150" s="193" t="s">
        <v>257</v>
      </c>
      <c r="C150" s="196" t="s">
        <v>431</v>
      </c>
      <c r="D150" s="36" t="s">
        <v>137</v>
      </c>
      <c r="E150" s="36" t="s">
        <v>297</v>
      </c>
      <c r="F150" s="35" t="s">
        <v>290</v>
      </c>
      <c r="G150" s="78" t="s">
        <v>328</v>
      </c>
      <c r="H150" s="35" t="s">
        <v>472</v>
      </c>
      <c r="I150" s="37" t="s">
        <v>41</v>
      </c>
      <c r="J150" s="215"/>
      <c r="K150" s="215"/>
      <c r="L150" s="195"/>
      <c r="M150" s="51" t="s">
        <v>558</v>
      </c>
      <c r="N150" s="51" t="s">
        <v>563</v>
      </c>
      <c r="O150" s="51" t="s">
        <v>578</v>
      </c>
      <c r="P150" s="51" t="s">
        <v>578</v>
      </c>
      <c r="Q150" s="51" t="s">
        <v>135</v>
      </c>
      <c r="R150" s="51" t="s">
        <v>135</v>
      </c>
      <c r="S150" s="35" t="s">
        <v>46</v>
      </c>
      <c r="T150" s="35" t="s">
        <v>179</v>
      </c>
      <c r="U150" s="35" t="s">
        <v>11</v>
      </c>
      <c r="V150" s="35" t="s">
        <v>11</v>
      </c>
      <c r="W150" s="3"/>
      <c r="X150" s="3"/>
      <c r="Y150" s="3"/>
      <c r="Z150" s="3"/>
      <c r="AA150" s="3"/>
      <c r="AB150" s="3"/>
      <c r="AC150" s="3"/>
      <c r="AD150" s="3"/>
      <c r="AE150" s="3"/>
      <c r="AF150" s="3"/>
      <c r="AG150" s="3"/>
      <c r="AH150" s="3" t="s">
        <v>128</v>
      </c>
      <c r="AI150" s="11"/>
      <c r="AJ150" s="11"/>
      <c r="AK150" s="11"/>
      <c r="AL150" s="11"/>
      <c r="AM150" s="3"/>
      <c r="AN150" s="3"/>
      <c r="AO150" s="3"/>
      <c r="AP150" s="3"/>
      <c r="AQ150" s="3"/>
      <c r="AR150" s="2"/>
      <c r="AS150" s="92" t="e">
        <f ca="1">IF(AND('NFR repository'!H150=Params!$I$3,INDIRECT("'NFR repository'!L" &amp; ROW('NFR repository'!A150) &amp; "C" &amp; TEXT(24 + $AS$2,"0"),FALSE)&lt;&gt;""),'NFR repository'!I150,0)</f>
        <v>#REF!</v>
      </c>
      <c r="AT150" s="168" t="e">
        <f ca="1">IF(AND('NFR repository'!H150=Params!$I$3,INDIRECT("'NFR repository'!L" &amp; ROW('NFR repository'!R150) &amp; "C" &amp; TEXT(28 + $AT$2,"0"),FALSE)&lt;&gt;""),'NFR repository'!I150,0)</f>
        <v>#REF!</v>
      </c>
      <c r="AU150" s="168" t="e">
        <f ca="1">IF(AND('NFR repository'!H150=Params!$I$3,INDIRECT("'NFR repository'!L" &amp; ROW('NFR repository'!R150) &amp; "C" &amp; TEXT(32 + $AU$2,"0"),FALSE)&lt;&gt;""),'NFR repository'!I150,0)</f>
        <v>#REF!</v>
      </c>
      <c r="AV150" s="233" t="e">
        <f ca="1">IF(AND('NFR repository'!H150=Params!$I$3,INDIRECT("'NFR repository'!L" &amp; ROW('NFR repository'!R150) &amp; "C" &amp; TEXT(36 + $AV$2,"0"),FALSE)&lt;&gt;""),'NFR repository'!I150,0)</f>
        <v>#REF!</v>
      </c>
      <c r="AW150" s="92">
        <f>IF(AND('NFR repository'!$H150=Params!$I$3,IFERROR(FIND(AW$1,'NFR repository'!$U150)&gt;0,FALSE)),'NFR repository'!$I150,0)</f>
        <v>0</v>
      </c>
      <c r="AX150" s="231">
        <f>IF(AND('NFR repository'!$H150=Params!$I$3,Synthesis!$I$8&lt;&gt;Params!$B$17,IFERROR(FIND(AX$1,'NFR repository'!$U150)&gt;0,FALSE)),'NFR repository'!$I150,0)</f>
        <v>0</v>
      </c>
      <c r="AY150" s="231">
        <f>IF(AND('NFR repository'!$H150=Params!$I$3,IFERROR(FIND(AY$1,'NFR repository'!$U150)&gt;0,FALSE)),'NFR repository'!$I150,0)</f>
        <v>0</v>
      </c>
      <c r="AZ150" s="231">
        <f>IF(AND('NFR repository'!$H150=Params!$I$3,IFERROR(FIND(AZ$1,'NFR repository'!$U150)&gt;0,FALSE)),'NFR repository'!$I150,0)</f>
        <v>0</v>
      </c>
      <c r="BA150" s="231">
        <f>IF(AND('NFR repository'!$H150=Params!$I$3,IFERROR(FIND(BA$1,'NFR repository'!$U150)&gt;0,FALSE)),'NFR repository'!$I150,0)</f>
        <v>0</v>
      </c>
      <c r="BB150" s="231">
        <f>IF(AND('NFR repository'!$H150=Params!$I$3,IFERROR(FIND(BB$1,'NFR repository'!$U150)&gt;0,FALSE)),'NFR repository'!$I150,0)</f>
        <v>0</v>
      </c>
      <c r="BC150" s="231">
        <f>IF(AND('NFR repository'!$H150=Params!$I$3,IFERROR(FIND(BC$1,'NFR repository'!$U150)&gt;0,FALSE)),'NFR repository'!$I150,0)</f>
        <v>0</v>
      </c>
      <c r="BD150" s="231">
        <f>IF(AND('NFR repository'!$H150=Params!$I$3,IFERROR(FIND(BD$1,'NFR repository'!$U150)&gt;0,FALSE)),'NFR repository'!$I150,0)</f>
        <v>0</v>
      </c>
      <c r="BE150" s="93">
        <f>IF(AND('NFR repository'!$H150=Params!$I$3,IFERROR(FIND(BE$1,'NFR repository'!$U150)&gt;0,FALSE)),'NFR repository'!$I150,0)</f>
        <v>0</v>
      </c>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row>
    <row r="151" spans="1:84" ht="30" x14ac:dyDescent="0.25">
      <c r="A151" s="1"/>
      <c r="B151" s="193" t="s">
        <v>420</v>
      </c>
      <c r="C151" s="194" t="s">
        <v>709</v>
      </c>
      <c r="D151" s="36" t="s">
        <v>137</v>
      </c>
      <c r="E151" s="36"/>
      <c r="F151" s="35" t="s">
        <v>289</v>
      </c>
      <c r="G151" s="51" t="s">
        <v>741</v>
      </c>
      <c r="H151" s="35" t="s">
        <v>472</v>
      </c>
      <c r="I151" s="72" t="s">
        <v>41</v>
      </c>
      <c r="J151" s="215"/>
      <c r="K151" s="215"/>
      <c r="L151" s="195"/>
      <c r="M151" s="51" t="s">
        <v>130</v>
      </c>
      <c r="N151" s="51" t="s">
        <v>141</v>
      </c>
      <c r="O151" s="51" t="s">
        <v>576</v>
      </c>
      <c r="P151" s="51" t="s">
        <v>576</v>
      </c>
      <c r="Q151" s="51" t="s">
        <v>46</v>
      </c>
      <c r="R151" s="51" t="s">
        <v>46</v>
      </c>
      <c r="S151" s="35" t="s">
        <v>46</v>
      </c>
      <c r="T151" s="35" t="s">
        <v>46</v>
      </c>
      <c r="U151" s="35" t="s">
        <v>11</v>
      </c>
      <c r="V151" s="35" t="s">
        <v>11</v>
      </c>
      <c r="W151" s="11"/>
      <c r="X151" s="11" t="s">
        <v>128</v>
      </c>
      <c r="Y151" s="11" t="s">
        <v>128</v>
      </c>
      <c r="Z151" s="11"/>
      <c r="AA151" s="11" t="s">
        <v>128</v>
      </c>
      <c r="AB151" s="11" t="s">
        <v>128</v>
      </c>
      <c r="AC151" s="11"/>
      <c r="AD151" s="11"/>
      <c r="AE151" s="11"/>
      <c r="AF151" s="11"/>
      <c r="AG151" s="11"/>
      <c r="AH151" s="11"/>
      <c r="AI151" s="11" t="s">
        <v>128</v>
      </c>
      <c r="AJ151" s="11" t="s">
        <v>128</v>
      </c>
      <c r="AK151" s="11"/>
      <c r="AL151" s="11"/>
      <c r="AM151" s="3"/>
      <c r="AN151" s="3"/>
      <c r="AO151" s="3"/>
      <c r="AP151" s="3">
        <v>5</v>
      </c>
      <c r="AQ151" s="3">
        <v>1</v>
      </c>
      <c r="AR151" s="2"/>
      <c r="AS151" s="92" t="e">
        <f ca="1">IF(AND('NFR repository'!H151=Params!$I$3,INDIRECT("'NFR repository'!L" &amp; ROW('NFR repository'!A151) &amp; "C" &amp; TEXT(24 + $AS$2,"0"),FALSE)&lt;&gt;""),'NFR repository'!I151,0)</f>
        <v>#REF!</v>
      </c>
      <c r="AT151" s="168" t="e">
        <f ca="1">IF(AND('NFR repository'!H151=Params!$I$3,INDIRECT("'NFR repository'!L" &amp; ROW('NFR repository'!R151) &amp; "C" &amp; TEXT(28 + $AT$2,"0"),FALSE)&lt;&gt;""),'NFR repository'!I151,0)</f>
        <v>#REF!</v>
      </c>
      <c r="AU151" s="168" t="e">
        <f ca="1">IF(AND('NFR repository'!H151=Params!$I$3,INDIRECT("'NFR repository'!L" &amp; ROW('NFR repository'!R151) &amp; "C" &amp; TEXT(32 + $AU$2,"0"),FALSE)&lt;&gt;""),'NFR repository'!I151,0)</f>
        <v>#REF!</v>
      </c>
      <c r="AV151" s="233" t="e">
        <f ca="1">IF(AND('NFR repository'!H151=Params!$I$3,INDIRECT("'NFR repository'!L" &amp; ROW('NFR repository'!R151) &amp; "C" &amp; TEXT(36 + $AV$2,"0"),FALSE)&lt;&gt;""),'NFR repository'!I151,0)</f>
        <v>#REF!</v>
      </c>
      <c r="AW151" s="92">
        <f>IF(AND('NFR repository'!$H151=Params!$I$3,IFERROR(FIND(AW$1,'NFR repository'!$U151)&gt;0,FALSE)),'NFR repository'!$I151,0)</f>
        <v>0</v>
      </c>
      <c r="AX151" s="231">
        <f>IF(AND('NFR repository'!$H151=Params!$I$3,Synthesis!$I$8&lt;&gt;Params!$B$17,IFERROR(FIND(AX$1,'NFR repository'!$U151)&gt;0,FALSE)),'NFR repository'!$I151,0)</f>
        <v>0</v>
      </c>
      <c r="AY151" s="231">
        <f>IF(AND('NFR repository'!$H151=Params!$I$3,IFERROR(FIND(AY$1,'NFR repository'!$U151)&gt;0,FALSE)),'NFR repository'!$I151,0)</f>
        <v>0</v>
      </c>
      <c r="AZ151" s="231">
        <f>IF(AND('NFR repository'!$H151=Params!$I$3,IFERROR(FIND(AZ$1,'NFR repository'!$U151)&gt;0,FALSE)),'NFR repository'!$I151,0)</f>
        <v>0</v>
      </c>
      <c r="BA151" s="231">
        <f>IF(AND('NFR repository'!$H151=Params!$I$3,IFERROR(FIND(BA$1,'NFR repository'!$U151)&gt;0,FALSE)),'NFR repository'!$I151,0)</f>
        <v>0</v>
      </c>
      <c r="BB151" s="231">
        <f>IF(AND('NFR repository'!$H151=Params!$I$3,IFERROR(FIND(BB$1,'NFR repository'!$U151)&gt;0,FALSE)),'NFR repository'!$I151,0)</f>
        <v>0</v>
      </c>
      <c r="BC151" s="231">
        <f>IF(AND('NFR repository'!$H151=Params!$I$3,IFERROR(FIND(BC$1,'NFR repository'!$U151)&gt;0,FALSE)),'NFR repository'!$I151,0)</f>
        <v>0</v>
      </c>
      <c r="BD151" s="231">
        <f>IF(AND('NFR repository'!$H151=Params!$I$3,IFERROR(FIND(BD$1,'NFR repository'!$U151)&gt;0,FALSE)),'NFR repository'!$I151,0)</f>
        <v>0</v>
      </c>
      <c r="BE151" s="93">
        <f>IF(AND('NFR repository'!$H151=Params!$I$3,IFERROR(FIND(BE$1,'NFR repository'!$U151)&gt;0,FALSE)),'NFR repository'!$I151,0)</f>
        <v>0</v>
      </c>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row>
    <row r="152" spans="1:84" ht="30" x14ac:dyDescent="0.25">
      <c r="A152" s="1"/>
      <c r="B152" s="193" t="s">
        <v>421</v>
      </c>
      <c r="C152" s="194" t="s">
        <v>708</v>
      </c>
      <c r="D152" s="36" t="s">
        <v>137</v>
      </c>
      <c r="E152" s="36"/>
      <c r="F152" s="35" t="s">
        <v>289</v>
      </c>
      <c r="G152" s="51" t="s">
        <v>741</v>
      </c>
      <c r="H152" s="35" t="s">
        <v>472</v>
      </c>
      <c r="I152" s="37" t="s">
        <v>41</v>
      </c>
      <c r="J152" s="215"/>
      <c r="K152" s="215"/>
      <c r="L152" s="195"/>
      <c r="M152" s="51" t="s">
        <v>130</v>
      </c>
      <c r="N152" s="51" t="s">
        <v>141</v>
      </c>
      <c r="O152" s="51" t="s">
        <v>576</v>
      </c>
      <c r="P152" s="51" t="s">
        <v>576</v>
      </c>
      <c r="Q152" s="51" t="s">
        <v>46</v>
      </c>
      <c r="R152" s="51" t="s">
        <v>46</v>
      </c>
      <c r="S152" s="35" t="s">
        <v>46</v>
      </c>
      <c r="T152" s="35" t="s">
        <v>46</v>
      </c>
      <c r="U152" s="38" t="s">
        <v>11</v>
      </c>
      <c r="V152" s="35" t="s">
        <v>11</v>
      </c>
      <c r="W152" s="11"/>
      <c r="X152" s="11"/>
      <c r="Y152" s="11"/>
      <c r="Z152" s="11" t="s">
        <v>128</v>
      </c>
      <c r="AA152" s="11"/>
      <c r="AB152" s="11"/>
      <c r="AC152" s="11" t="s">
        <v>128</v>
      </c>
      <c r="AD152" s="11" t="s">
        <v>128</v>
      </c>
      <c r="AE152" s="11"/>
      <c r="AF152" s="11"/>
      <c r="AG152" s="11"/>
      <c r="AH152" s="11"/>
      <c r="AI152" s="11"/>
      <c r="AJ152" s="11"/>
      <c r="AK152" s="11" t="s">
        <v>128</v>
      </c>
      <c r="AL152" s="11" t="s">
        <v>128</v>
      </c>
      <c r="AM152" s="3"/>
      <c r="AN152" s="3"/>
      <c r="AO152" s="3"/>
      <c r="AP152" s="3">
        <v>5</v>
      </c>
      <c r="AQ152" s="3">
        <v>2</v>
      </c>
      <c r="AR152" s="2"/>
      <c r="AS152" s="92" t="e">
        <f ca="1">IF(AND('NFR repository'!H152=Params!$I$3,INDIRECT("'NFR repository'!L" &amp; ROW('NFR repository'!A152) &amp; "C" &amp; TEXT(24 + $AS$2,"0"),FALSE)&lt;&gt;""),'NFR repository'!I152,0)</f>
        <v>#REF!</v>
      </c>
      <c r="AT152" s="168" t="e">
        <f ca="1">IF(AND('NFR repository'!H152=Params!$I$3,INDIRECT("'NFR repository'!L" &amp; ROW('NFR repository'!R152) &amp; "C" &amp; TEXT(28 + $AT$2,"0"),FALSE)&lt;&gt;""),'NFR repository'!I152,0)</f>
        <v>#REF!</v>
      </c>
      <c r="AU152" s="168" t="e">
        <f ca="1">IF(AND('NFR repository'!H152=Params!$I$3,INDIRECT("'NFR repository'!L" &amp; ROW('NFR repository'!R152) &amp; "C" &amp; TEXT(32 + $AU$2,"0"),FALSE)&lt;&gt;""),'NFR repository'!I152,0)</f>
        <v>#REF!</v>
      </c>
      <c r="AV152" s="233" t="e">
        <f ca="1">IF(AND('NFR repository'!H152=Params!$I$3,INDIRECT("'NFR repository'!L" &amp; ROW('NFR repository'!R152) &amp; "C" &amp; TEXT(36 + $AV$2,"0"),FALSE)&lt;&gt;""),'NFR repository'!I152,0)</f>
        <v>#REF!</v>
      </c>
      <c r="AW152" s="92">
        <f>IF(AND('NFR repository'!$H152=Params!$I$3,IFERROR(FIND(AW$1,'NFR repository'!$U152)&gt;0,FALSE)),'NFR repository'!$I152,0)</f>
        <v>0</v>
      </c>
      <c r="AX152" s="231">
        <f>IF(AND('NFR repository'!$H152=Params!$I$3,Synthesis!$I$8&lt;&gt;Params!$B$17,IFERROR(FIND(AX$1,'NFR repository'!$U152)&gt;0,FALSE)),'NFR repository'!$I152,0)</f>
        <v>0</v>
      </c>
      <c r="AY152" s="231">
        <f>IF(AND('NFR repository'!$H152=Params!$I$3,IFERROR(FIND(AY$1,'NFR repository'!$U152)&gt;0,FALSE)),'NFR repository'!$I152,0)</f>
        <v>0</v>
      </c>
      <c r="AZ152" s="231">
        <f>IF(AND('NFR repository'!$H152=Params!$I$3,IFERROR(FIND(AZ$1,'NFR repository'!$U152)&gt;0,FALSE)),'NFR repository'!$I152,0)</f>
        <v>0</v>
      </c>
      <c r="BA152" s="231">
        <f>IF(AND('NFR repository'!$H152=Params!$I$3,IFERROR(FIND(BA$1,'NFR repository'!$U152)&gt;0,FALSE)),'NFR repository'!$I152,0)</f>
        <v>0</v>
      </c>
      <c r="BB152" s="231">
        <f>IF(AND('NFR repository'!$H152=Params!$I$3,IFERROR(FIND(BB$1,'NFR repository'!$U152)&gt;0,FALSE)),'NFR repository'!$I152,0)</f>
        <v>0</v>
      </c>
      <c r="BC152" s="231">
        <f>IF(AND('NFR repository'!$H152=Params!$I$3,IFERROR(FIND(BC$1,'NFR repository'!$U152)&gt;0,FALSE)),'NFR repository'!$I152,0)</f>
        <v>0</v>
      </c>
      <c r="BD152" s="231">
        <f>IF(AND('NFR repository'!$H152=Params!$I$3,IFERROR(FIND(BD$1,'NFR repository'!$U152)&gt;0,FALSE)),'NFR repository'!$I152,0)</f>
        <v>0</v>
      </c>
      <c r="BE152" s="93">
        <f>IF(AND('NFR repository'!$H152=Params!$I$3,IFERROR(FIND(BE$1,'NFR repository'!$U152)&gt;0,FALSE)),'NFR repository'!$I152,0)</f>
        <v>0</v>
      </c>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row>
    <row r="153" spans="1:84" ht="45" x14ac:dyDescent="0.25">
      <c r="A153" s="1"/>
      <c r="B153" s="193" t="s">
        <v>422</v>
      </c>
      <c r="C153" s="194" t="s">
        <v>710</v>
      </c>
      <c r="D153" s="36" t="s">
        <v>137</v>
      </c>
      <c r="E153" s="36"/>
      <c r="F153" s="35" t="s">
        <v>587</v>
      </c>
      <c r="G153" s="51" t="s">
        <v>750</v>
      </c>
      <c r="H153" s="35" t="s">
        <v>472</v>
      </c>
      <c r="I153" s="72" t="s">
        <v>41</v>
      </c>
      <c r="J153" s="215"/>
      <c r="K153" s="215"/>
      <c r="L153" s="195"/>
      <c r="M153" s="51" t="s">
        <v>130</v>
      </c>
      <c r="N153" s="51" t="s">
        <v>170</v>
      </c>
      <c r="O153" s="51" t="s">
        <v>576</v>
      </c>
      <c r="P153" s="51" t="s">
        <v>577</v>
      </c>
      <c r="Q153" s="51" t="s">
        <v>46</v>
      </c>
      <c r="R153" s="51" t="s">
        <v>46</v>
      </c>
      <c r="S153" s="35" t="s">
        <v>46</v>
      </c>
      <c r="T153" s="35" t="s">
        <v>46</v>
      </c>
      <c r="U153" s="35" t="s">
        <v>11</v>
      </c>
      <c r="V153" s="35" t="s">
        <v>11</v>
      </c>
      <c r="W153" s="11" t="s">
        <v>128</v>
      </c>
      <c r="X153" s="11" t="s">
        <v>128</v>
      </c>
      <c r="Y153" s="11"/>
      <c r="Z153" s="11"/>
      <c r="AA153" s="11" t="s">
        <v>128</v>
      </c>
      <c r="AB153" s="11" t="s">
        <v>128</v>
      </c>
      <c r="AC153" s="11"/>
      <c r="AD153" s="11"/>
      <c r="AE153" s="11" t="s">
        <v>128</v>
      </c>
      <c r="AF153" s="11" t="s">
        <v>128</v>
      </c>
      <c r="AG153" s="11"/>
      <c r="AH153" s="11"/>
      <c r="AI153" s="11" t="s">
        <v>128</v>
      </c>
      <c r="AJ153" s="220" t="s">
        <v>128</v>
      </c>
      <c r="AK153" s="220"/>
      <c r="AL153" s="220"/>
      <c r="AM153" s="3"/>
      <c r="AN153" s="3"/>
      <c r="AO153" s="3"/>
      <c r="AP153" s="3">
        <v>6</v>
      </c>
      <c r="AQ153" s="3">
        <v>1</v>
      </c>
      <c r="AR153" s="2"/>
      <c r="AS153" s="92" t="e">
        <f ca="1">IF(AND('NFR repository'!H153=Params!$I$3,INDIRECT("'NFR repository'!L" &amp; ROW('NFR repository'!A153) &amp; "C" &amp; TEXT(24 + $AS$2,"0"),FALSE)&lt;&gt;""),'NFR repository'!I153,0)</f>
        <v>#REF!</v>
      </c>
      <c r="AT153" s="168" t="e">
        <f ca="1">IF(AND('NFR repository'!H153=Params!$I$3,INDIRECT("'NFR repository'!L" &amp; ROW('NFR repository'!R153) &amp; "C" &amp; TEXT(28 + $AT$2,"0"),FALSE)&lt;&gt;""),'NFR repository'!I153,0)</f>
        <v>#REF!</v>
      </c>
      <c r="AU153" s="168" t="e">
        <f ca="1">IF(AND('NFR repository'!H153=Params!$I$3,INDIRECT("'NFR repository'!L" &amp; ROW('NFR repository'!R153) &amp; "C" &amp; TEXT(32 + $AU$2,"0"),FALSE)&lt;&gt;""),'NFR repository'!I153,0)</f>
        <v>#REF!</v>
      </c>
      <c r="AV153" s="233" t="e">
        <f ca="1">IF(AND('NFR repository'!H153=Params!$I$3,INDIRECT("'NFR repository'!L" &amp; ROW('NFR repository'!R153) &amp; "C" &amp; TEXT(36 + $AV$2,"0"),FALSE)&lt;&gt;""),'NFR repository'!I153,0)</f>
        <v>#REF!</v>
      </c>
      <c r="AW153" s="92">
        <f>IF(AND('NFR repository'!$H153=Params!$I$3,IFERROR(FIND(AW$1,'NFR repository'!$U153)&gt;0,FALSE)),'NFR repository'!$I153,0)</f>
        <v>0</v>
      </c>
      <c r="AX153" s="231">
        <f>IF(AND('NFR repository'!$H153=Params!$I$3,Synthesis!$I$8&lt;&gt;Params!$B$17,IFERROR(FIND(AX$1,'NFR repository'!$U153)&gt;0,FALSE)),'NFR repository'!$I153,0)</f>
        <v>0</v>
      </c>
      <c r="AY153" s="231">
        <f>IF(AND('NFR repository'!$H153=Params!$I$3,IFERROR(FIND(AY$1,'NFR repository'!$U153)&gt;0,FALSE)),'NFR repository'!$I153,0)</f>
        <v>0</v>
      </c>
      <c r="AZ153" s="231">
        <f>IF(AND('NFR repository'!$H153=Params!$I$3,IFERROR(FIND(AZ$1,'NFR repository'!$U153)&gt;0,FALSE)),'NFR repository'!$I153,0)</f>
        <v>0</v>
      </c>
      <c r="BA153" s="231">
        <f>IF(AND('NFR repository'!$H153=Params!$I$3,IFERROR(FIND(BA$1,'NFR repository'!$U153)&gt;0,FALSE)),'NFR repository'!$I153,0)</f>
        <v>0</v>
      </c>
      <c r="BB153" s="231">
        <f>IF(AND('NFR repository'!$H153=Params!$I$3,IFERROR(FIND(BB$1,'NFR repository'!$U153)&gt;0,FALSE)),'NFR repository'!$I153,0)</f>
        <v>0</v>
      </c>
      <c r="BC153" s="231">
        <f>IF(AND('NFR repository'!$H153=Params!$I$3,IFERROR(FIND(BC$1,'NFR repository'!$U153)&gt;0,FALSE)),'NFR repository'!$I153,0)</f>
        <v>0</v>
      </c>
      <c r="BD153" s="231">
        <f>IF(AND('NFR repository'!$H153=Params!$I$3,IFERROR(FIND(BD$1,'NFR repository'!$U153)&gt;0,FALSE)),'NFR repository'!$I153,0)</f>
        <v>0</v>
      </c>
      <c r="BE153" s="93">
        <f>IF(AND('NFR repository'!$H153=Params!$I$3,IFERROR(FIND(BE$1,'NFR repository'!$U153)&gt;0,FALSE)),'NFR repository'!$I153,0)</f>
        <v>0</v>
      </c>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row>
    <row r="154" spans="1:84" ht="45" x14ac:dyDescent="0.25">
      <c r="A154" s="1"/>
      <c r="B154" s="193" t="s">
        <v>423</v>
      </c>
      <c r="C154" s="194" t="s">
        <v>432</v>
      </c>
      <c r="D154" s="36" t="s">
        <v>137</v>
      </c>
      <c r="E154" s="36"/>
      <c r="F154" s="35" t="s">
        <v>587</v>
      </c>
      <c r="G154" s="51" t="s">
        <v>750</v>
      </c>
      <c r="H154" s="35" t="s">
        <v>472</v>
      </c>
      <c r="I154" s="72" t="s">
        <v>41</v>
      </c>
      <c r="J154" s="215"/>
      <c r="K154" s="215"/>
      <c r="L154" s="195"/>
      <c r="M154" s="51" t="s">
        <v>130</v>
      </c>
      <c r="N154" s="51" t="s">
        <v>170</v>
      </c>
      <c r="O154" s="51" t="s">
        <v>576</v>
      </c>
      <c r="P154" s="51" t="s">
        <v>577</v>
      </c>
      <c r="Q154" s="51" t="s">
        <v>46</v>
      </c>
      <c r="R154" s="51" t="s">
        <v>46</v>
      </c>
      <c r="S154" s="35" t="s">
        <v>46</v>
      </c>
      <c r="T154" s="35" t="s">
        <v>46</v>
      </c>
      <c r="U154" s="38" t="s">
        <v>633</v>
      </c>
      <c r="V154" s="35" t="s">
        <v>11</v>
      </c>
      <c r="W154" s="11"/>
      <c r="X154" s="11"/>
      <c r="Y154" s="11" t="s">
        <v>128</v>
      </c>
      <c r="Z154" s="11" t="s">
        <v>128</v>
      </c>
      <c r="AA154" s="11"/>
      <c r="AB154" s="11"/>
      <c r="AC154" s="11" t="s">
        <v>128</v>
      </c>
      <c r="AD154" s="11" t="s">
        <v>128</v>
      </c>
      <c r="AE154" s="11"/>
      <c r="AF154" s="11"/>
      <c r="AG154" s="11" t="s">
        <v>128</v>
      </c>
      <c r="AH154" s="11" t="s">
        <v>128</v>
      </c>
      <c r="AI154" s="11"/>
      <c r="AJ154" s="220"/>
      <c r="AK154" s="220" t="s">
        <v>128</v>
      </c>
      <c r="AL154" s="220" t="s">
        <v>128</v>
      </c>
      <c r="AM154" s="3"/>
      <c r="AN154" s="3"/>
      <c r="AO154" s="3"/>
      <c r="AP154" s="3">
        <v>6</v>
      </c>
      <c r="AQ154" s="3">
        <v>2</v>
      </c>
      <c r="AR154" s="2"/>
      <c r="AS154" s="92" t="e">
        <f ca="1">IF(AND('NFR repository'!H154=Params!$I$3,INDIRECT("'NFR repository'!L" &amp; ROW('NFR repository'!A154) &amp; "C" &amp; TEXT(24 + $AS$2,"0"),FALSE)&lt;&gt;""),'NFR repository'!I154,0)</f>
        <v>#REF!</v>
      </c>
      <c r="AT154" s="168" t="e">
        <f ca="1">IF(AND('NFR repository'!H154=Params!$I$3,INDIRECT("'NFR repository'!L" &amp; ROW('NFR repository'!R154) &amp; "C" &amp; TEXT(28 + $AT$2,"0"),FALSE)&lt;&gt;""),'NFR repository'!I154,0)</f>
        <v>#REF!</v>
      </c>
      <c r="AU154" s="168" t="e">
        <f ca="1">IF(AND('NFR repository'!H154=Params!$I$3,INDIRECT("'NFR repository'!L" &amp; ROW('NFR repository'!R154) &amp; "C" &amp; TEXT(32 + $AU$2,"0"),FALSE)&lt;&gt;""),'NFR repository'!I154,0)</f>
        <v>#REF!</v>
      </c>
      <c r="AV154" s="233" t="e">
        <f ca="1">IF(AND('NFR repository'!H154=Params!$I$3,INDIRECT("'NFR repository'!L" &amp; ROW('NFR repository'!R154) &amp; "C" &amp; TEXT(36 + $AV$2,"0"),FALSE)&lt;&gt;""),'NFR repository'!I154,0)</f>
        <v>#REF!</v>
      </c>
      <c r="AW154" s="92">
        <f>IF(AND('NFR repository'!$H154=Params!$I$3,IFERROR(FIND(AW$1,'NFR repository'!$U154)&gt;0,FALSE)),'NFR repository'!$I154,0)</f>
        <v>0</v>
      </c>
      <c r="AX154" s="231">
        <f>IF(AND('NFR repository'!$H154=Params!$I$3,Synthesis!$I$8&lt;&gt;Params!$B$17,IFERROR(FIND(AX$1,'NFR repository'!$U154)&gt;0,FALSE)),'NFR repository'!$I154,0)</f>
        <v>0</v>
      </c>
      <c r="AY154" s="231">
        <f>IF(AND('NFR repository'!$H154=Params!$I$3,IFERROR(FIND(AY$1,'NFR repository'!$U154)&gt;0,FALSE)),'NFR repository'!$I154,0)</f>
        <v>0</v>
      </c>
      <c r="AZ154" s="231">
        <f>IF(AND('NFR repository'!$H154=Params!$I$3,IFERROR(FIND(AZ$1,'NFR repository'!$U154)&gt;0,FALSE)),'NFR repository'!$I154,0)</f>
        <v>0</v>
      </c>
      <c r="BA154" s="231">
        <f>IF(AND('NFR repository'!$H154=Params!$I$3,IFERROR(FIND(BA$1,'NFR repository'!$U154)&gt;0,FALSE)),'NFR repository'!$I154,0)</f>
        <v>0</v>
      </c>
      <c r="BB154" s="231">
        <f>IF(AND('NFR repository'!$H154=Params!$I$3,IFERROR(FIND(BB$1,'NFR repository'!$U154)&gt;0,FALSE)),'NFR repository'!$I154,0)</f>
        <v>0</v>
      </c>
      <c r="BC154" s="231">
        <f>IF(AND('NFR repository'!$H154=Params!$I$3,IFERROR(FIND(BC$1,'NFR repository'!$U154)&gt;0,FALSE)),'NFR repository'!$I154,0)</f>
        <v>0</v>
      </c>
      <c r="BD154" s="231">
        <f>IF(AND('NFR repository'!$H154=Params!$I$3,IFERROR(FIND(BD$1,'NFR repository'!$U154)&gt;0,FALSE)),'NFR repository'!$I154,0)</f>
        <v>0</v>
      </c>
      <c r="BE154" s="93">
        <f>IF(AND('NFR repository'!$H154=Params!$I$3,IFERROR(FIND(BE$1,'NFR repository'!$U154)&gt;0,FALSE)),'NFR repository'!$I154,0)</f>
        <v>0</v>
      </c>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row>
    <row r="155" spans="1:84" ht="30" x14ac:dyDescent="0.25">
      <c r="A155" s="1"/>
      <c r="B155" s="193" t="s">
        <v>424</v>
      </c>
      <c r="C155" s="194" t="s">
        <v>711</v>
      </c>
      <c r="D155" s="36" t="s">
        <v>137</v>
      </c>
      <c r="E155" s="36"/>
      <c r="F155" s="35" t="s">
        <v>289</v>
      </c>
      <c r="G155" s="51" t="s">
        <v>741</v>
      </c>
      <c r="H155" s="35" t="s">
        <v>472</v>
      </c>
      <c r="I155" s="72" t="s">
        <v>41</v>
      </c>
      <c r="J155" s="215"/>
      <c r="K155" s="215"/>
      <c r="L155" s="195"/>
      <c r="M155" s="51" t="s">
        <v>130</v>
      </c>
      <c r="N155" s="51" t="s">
        <v>141</v>
      </c>
      <c r="O155" s="51" t="s">
        <v>576</v>
      </c>
      <c r="P155" s="51" t="s">
        <v>576</v>
      </c>
      <c r="Q155" s="51" t="s">
        <v>46</v>
      </c>
      <c r="R155" s="51" t="s">
        <v>46</v>
      </c>
      <c r="S155" s="35" t="s">
        <v>46</v>
      </c>
      <c r="T155" s="35" t="s">
        <v>46</v>
      </c>
      <c r="U155" s="35" t="s">
        <v>11</v>
      </c>
      <c r="V155" s="35" t="s">
        <v>11</v>
      </c>
      <c r="W155" s="3"/>
      <c r="X155" s="3"/>
      <c r="Y155" s="3"/>
      <c r="Z155" s="3"/>
      <c r="AA155" s="3"/>
      <c r="AB155" s="3"/>
      <c r="AC155" s="3"/>
      <c r="AD155" s="3"/>
      <c r="AE155" s="3"/>
      <c r="AF155" s="3" t="s">
        <v>128</v>
      </c>
      <c r="AG155" s="3"/>
      <c r="AH155" s="3"/>
      <c r="AI155" s="3"/>
      <c r="AJ155" s="3" t="s">
        <v>128</v>
      </c>
      <c r="AK155" s="3"/>
      <c r="AL155" s="3"/>
      <c r="AM155" s="3"/>
      <c r="AN155" s="3"/>
      <c r="AO155" s="3"/>
      <c r="AP155" s="3">
        <v>7</v>
      </c>
      <c r="AQ155" s="3">
        <v>1</v>
      </c>
      <c r="AR155" s="2"/>
      <c r="AS155" s="92" t="e">
        <f ca="1">IF(AND('NFR repository'!H155=Params!$I$3,INDIRECT("'NFR repository'!L" &amp; ROW('NFR repository'!A155) &amp; "C" &amp; TEXT(24 + $AS$2,"0"),FALSE)&lt;&gt;""),'NFR repository'!I155,0)</f>
        <v>#REF!</v>
      </c>
      <c r="AT155" s="168" t="e">
        <f ca="1">IF(AND('NFR repository'!H155=Params!$I$3,INDIRECT("'NFR repository'!L" &amp; ROW('NFR repository'!R155) &amp; "C" &amp; TEXT(28 + $AT$2,"0"),FALSE)&lt;&gt;""),'NFR repository'!I155,0)</f>
        <v>#REF!</v>
      </c>
      <c r="AU155" s="168" t="e">
        <f ca="1">IF(AND('NFR repository'!H155=Params!$I$3,INDIRECT("'NFR repository'!L" &amp; ROW('NFR repository'!R155) &amp; "C" &amp; TEXT(32 + $AU$2,"0"),FALSE)&lt;&gt;""),'NFR repository'!I155,0)</f>
        <v>#REF!</v>
      </c>
      <c r="AV155" s="233" t="e">
        <f ca="1">IF(AND('NFR repository'!H155=Params!$I$3,INDIRECT("'NFR repository'!L" &amp; ROW('NFR repository'!R155) &amp; "C" &amp; TEXT(36 + $AV$2,"0"),FALSE)&lt;&gt;""),'NFR repository'!I155,0)</f>
        <v>#REF!</v>
      </c>
      <c r="AW155" s="92">
        <f>IF(AND('NFR repository'!$H155=Params!$I$3,IFERROR(FIND(AW$1,'NFR repository'!$U155)&gt;0,FALSE)),'NFR repository'!$I155,0)</f>
        <v>0</v>
      </c>
      <c r="AX155" s="231">
        <f>IF(AND('NFR repository'!$H155=Params!$I$3,Synthesis!$I$8&lt;&gt;Params!$B$17,IFERROR(FIND(AX$1,'NFR repository'!$U155)&gt;0,FALSE)),'NFR repository'!$I155,0)</f>
        <v>0</v>
      </c>
      <c r="AY155" s="231">
        <f>IF(AND('NFR repository'!$H155=Params!$I$3,IFERROR(FIND(AY$1,'NFR repository'!$U155)&gt;0,FALSE)),'NFR repository'!$I155,0)</f>
        <v>0</v>
      </c>
      <c r="AZ155" s="231">
        <f>IF(AND('NFR repository'!$H155=Params!$I$3,IFERROR(FIND(AZ$1,'NFR repository'!$U155)&gt;0,FALSE)),'NFR repository'!$I155,0)</f>
        <v>0</v>
      </c>
      <c r="BA155" s="231">
        <f>IF(AND('NFR repository'!$H155=Params!$I$3,IFERROR(FIND(BA$1,'NFR repository'!$U155)&gt;0,FALSE)),'NFR repository'!$I155,0)</f>
        <v>0</v>
      </c>
      <c r="BB155" s="231">
        <f>IF(AND('NFR repository'!$H155=Params!$I$3,IFERROR(FIND(BB$1,'NFR repository'!$U155)&gt;0,FALSE)),'NFR repository'!$I155,0)</f>
        <v>0</v>
      </c>
      <c r="BC155" s="231">
        <f>IF(AND('NFR repository'!$H155=Params!$I$3,IFERROR(FIND(BC$1,'NFR repository'!$U155)&gt;0,FALSE)),'NFR repository'!$I155,0)</f>
        <v>0</v>
      </c>
      <c r="BD155" s="231">
        <f>IF(AND('NFR repository'!$H155=Params!$I$3,IFERROR(FIND(BD$1,'NFR repository'!$U155)&gt;0,FALSE)),'NFR repository'!$I155,0)</f>
        <v>0</v>
      </c>
      <c r="BE155" s="93">
        <f>IF(AND('NFR repository'!$H155=Params!$I$3,IFERROR(FIND(BE$1,'NFR repository'!$U155)&gt;0,FALSE)),'NFR repository'!$I155,0)</f>
        <v>0</v>
      </c>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row>
    <row r="156" spans="1:84" ht="30" x14ac:dyDescent="0.25">
      <c r="A156" s="1"/>
      <c r="B156" s="193" t="s">
        <v>425</v>
      </c>
      <c r="C156" s="194" t="s">
        <v>433</v>
      </c>
      <c r="D156" s="36" t="s">
        <v>794</v>
      </c>
      <c r="E156" s="229"/>
      <c r="F156" s="35" t="s">
        <v>289</v>
      </c>
      <c r="G156" s="51" t="s">
        <v>741</v>
      </c>
      <c r="H156" s="35" t="s">
        <v>472</v>
      </c>
      <c r="I156" s="37" t="s">
        <v>41</v>
      </c>
      <c r="J156" s="215"/>
      <c r="K156" s="215"/>
      <c r="L156" s="195"/>
      <c r="M156" s="51" t="s">
        <v>130</v>
      </c>
      <c r="N156" s="51" t="s">
        <v>141</v>
      </c>
      <c r="O156" s="51" t="s">
        <v>576</v>
      </c>
      <c r="P156" s="51" t="s">
        <v>576</v>
      </c>
      <c r="Q156" s="51" t="s">
        <v>46</v>
      </c>
      <c r="R156" s="51" t="s">
        <v>46</v>
      </c>
      <c r="S156" s="35" t="s">
        <v>46</v>
      </c>
      <c r="T156" s="35" t="s">
        <v>46</v>
      </c>
      <c r="U156" s="38" t="s">
        <v>11</v>
      </c>
      <c r="V156" s="35" t="s">
        <v>11</v>
      </c>
      <c r="W156" s="3"/>
      <c r="X156" s="3"/>
      <c r="Y156" s="3"/>
      <c r="Z156" s="3"/>
      <c r="AA156" s="3"/>
      <c r="AB156" s="3"/>
      <c r="AC156" s="3"/>
      <c r="AD156" s="3"/>
      <c r="AE156" s="3"/>
      <c r="AF156" s="3"/>
      <c r="AG156" s="3" t="s">
        <v>128</v>
      </c>
      <c r="AH156" s="3" t="s">
        <v>128</v>
      </c>
      <c r="AI156" s="3"/>
      <c r="AJ156" s="3"/>
      <c r="AK156" s="11" t="s">
        <v>128</v>
      </c>
      <c r="AL156" s="11" t="s">
        <v>128</v>
      </c>
      <c r="AM156" s="3"/>
      <c r="AN156" s="3"/>
      <c r="AO156" s="3"/>
      <c r="AP156" s="3">
        <v>7</v>
      </c>
      <c r="AQ156" s="3">
        <v>3</v>
      </c>
      <c r="AR156" s="2"/>
      <c r="AS156" s="92" t="e">
        <f ca="1">IF(AND('NFR repository'!H156=Params!$I$3,INDIRECT("'NFR repository'!L" &amp; ROW('NFR repository'!A156) &amp; "C" &amp; TEXT(24 + $AS$2,"0"),FALSE)&lt;&gt;""),'NFR repository'!I156,0)</f>
        <v>#REF!</v>
      </c>
      <c r="AT156" s="168" t="e">
        <f ca="1">IF(AND('NFR repository'!H156=Params!$I$3,INDIRECT("'NFR repository'!L" &amp; ROW('NFR repository'!R156) &amp; "C" &amp; TEXT(28 + $AT$2,"0"),FALSE)&lt;&gt;""),'NFR repository'!I156,0)</f>
        <v>#REF!</v>
      </c>
      <c r="AU156" s="168" t="e">
        <f ca="1">IF(AND('NFR repository'!H156=Params!$I$3,INDIRECT("'NFR repository'!L" &amp; ROW('NFR repository'!R156) &amp; "C" &amp; TEXT(32 + $AU$2,"0"),FALSE)&lt;&gt;""),'NFR repository'!I156,0)</f>
        <v>#REF!</v>
      </c>
      <c r="AV156" s="233" t="e">
        <f ca="1">IF(AND('NFR repository'!H156=Params!$I$3,INDIRECT("'NFR repository'!L" &amp; ROW('NFR repository'!R156) &amp; "C" &amp; TEXT(36 + $AV$2,"0"),FALSE)&lt;&gt;""),'NFR repository'!I156,0)</f>
        <v>#REF!</v>
      </c>
      <c r="AW156" s="92">
        <f>IF(AND('NFR repository'!$H156=Params!$I$3,IFERROR(FIND(AW$1,'NFR repository'!$U156)&gt;0,FALSE)),'NFR repository'!$I156,0)</f>
        <v>0</v>
      </c>
      <c r="AX156" s="231">
        <f>IF(AND('NFR repository'!$H156=Params!$I$3,Synthesis!$I$8&lt;&gt;Params!$B$17,IFERROR(FIND(AX$1,'NFR repository'!$U156)&gt;0,FALSE)),'NFR repository'!$I156,0)</f>
        <v>0</v>
      </c>
      <c r="AY156" s="231">
        <f>IF(AND('NFR repository'!$H156=Params!$I$3,IFERROR(FIND(AY$1,'NFR repository'!$U156)&gt;0,FALSE)),'NFR repository'!$I156,0)</f>
        <v>0</v>
      </c>
      <c r="AZ156" s="231">
        <f>IF(AND('NFR repository'!$H156=Params!$I$3,IFERROR(FIND(AZ$1,'NFR repository'!$U156)&gt;0,FALSE)),'NFR repository'!$I156,0)</f>
        <v>0</v>
      </c>
      <c r="BA156" s="231">
        <f>IF(AND('NFR repository'!$H156=Params!$I$3,IFERROR(FIND(BA$1,'NFR repository'!$U156)&gt;0,FALSE)),'NFR repository'!$I156,0)</f>
        <v>0</v>
      </c>
      <c r="BB156" s="231">
        <f>IF(AND('NFR repository'!$H156=Params!$I$3,IFERROR(FIND(BB$1,'NFR repository'!$U156)&gt;0,FALSE)),'NFR repository'!$I156,0)</f>
        <v>0</v>
      </c>
      <c r="BC156" s="231">
        <f>IF(AND('NFR repository'!$H156=Params!$I$3,IFERROR(FIND(BC$1,'NFR repository'!$U156)&gt;0,FALSE)),'NFR repository'!$I156,0)</f>
        <v>0</v>
      </c>
      <c r="BD156" s="231">
        <f>IF(AND('NFR repository'!$H156=Params!$I$3,IFERROR(FIND(BD$1,'NFR repository'!$U156)&gt;0,FALSE)),'NFR repository'!$I156,0)</f>
        <v>0</v>
      </c>
      <c r="BE156" s="93">
        <f>IF(AND('NFR repository'!$H156=Params!$I$3,IFERROR(FIND(BE$1,'NFR repository'!$U156)&gt;0,FALSE)),'NFR repository'!$I156,0)</f>
        <v>0</v>
      </c>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row>
    <row r="157" spans="1:84" ht="45" x14ac:dyDescent="0.25">
      <c r="A157" s="1"/>
      <c r="B157" s="190" t="s">
        <v>719</v>
      </c>
      <c r="C157" s="191" t="s">
        <v>718</v>
      </c>
      <c r="D157" s="222" t="s">
        <v>137</v>
      </c>
      <c r="E157" s="222"/>
      <c r="F157" s="221" t="s">
        <v>289</v>
      </c>
      <c r="G157" s="75" t="s">
        <v>741</v>
      </c>
      <c r="H157" s="221" t="s">
        <v>472</v>
      </c>
      <c r="I157" s="72" t="s">
        <v>41</v>
      </c>
      <c r="J157" s="214"/>
      <c r="K157" s="214"/>
      <c r="L157" s="192"/>
      <c r="M157" s="75" t="s">
        <v>130</v>
      </c>
      <c r="N157" s="75" t="s">
        <v>141</v>
      </c>
      <c r="O157" s="75" t="s">
        <v>576</v>
      </c>
      <c r="P157" s="75" t="s">
        <v>576</v>
      </c>
      <c r="Q157" s="75" t="s">
        <v>46</v>
      </c>
      <c r="R157" s="75" t="s">
        <v>46</v>
      </c>
      <c r="S157" s="221" t="s">
        <v>46</v>
      </c>
      <c r="T157" s="221" t="s">
        <v>46</v>
      </c>
      <c r="U157" s="221" t="s">
        <v>11</v>
      </c>
      <c r="V157" s="221" t="s">
        <v>11</v>
      </c>
      <c r="W157" s="73"/>
      <c r="X157" s="73" t="s">
        <v>128</v>
      </c>
      <c r="Y157" s="73" t="s">
        <v>128</v>
      </c>
      <c r="Z157" s="73" t="s">
        <v>128</v>
      </c>
      <c r="AA157" s="73"/>
      <c r="AB157" s="73" t="s">
        <v>128</v>
      </c>
      <c r="AC157" s="73" t="s">
        <v>128</v>
      </c>
      <c r="AD157" s="73" t="s">
        <v>128</v>
      </c>
      <c r="AE157" s="73"/>
      <c r="AF157" s="73" t="s">
        <v>128</v>
      </c>
      <c r="AG157" s="73" t="s">
        <v>128</v>
      </c>
      <c r="AH157" s="73" t="s">
        <v>128</v>
      </c>
      <c r="AI157" s="73"/>
      <c r="AJ157" s="73"/>
      <c r="AK157" s="73"/>
      <c r="AL157" s="73"/>
      <c r="AM157" s="73"/>
      <c r="AN157" s="73"/>
      <c r="AO157" s="73"/>
      <c r="AP157" s="73"/>
      <c r="AQ157" s="73"/>
      <c r="AR157" s="2"/>
      <c r="AS157" s="92" t="e">
        <f ca="1">IF(AND('NFR repository'!H157=Params!$I$3,INDIRECT("'NFR repository'!L" &amp; ROW('NFR repository'!A157) &amp; "C" &amp; TEXT(24 + $AS$2,"0"),FALSE)&lt;&gt;""),'NFR repository'!I157,0)</f>
        <v>#REF!</v>
      </c>
      <c r="AT157" s="168" t="e">
        <f ca="1">IF(AND('NFR repository'!H157=Params!$I$3,INDIRECT("'NFR repository'!L" &amp; ROW('NFR repository'!R157) &amp; "C" &amp; TEXT(28 + $AT$2,"0"),FALSE)&lt;&gt;""),'NFR repository'!I157,0)</f>
        <v>#REF!</v>
      </c>
      <c r="AU157" s="168" t="e">
        <f ca="1">IF(AND('NFR repository'!H157=Params!$I$3,INDIRECT("'NFR repository'!L" &amp; ROW('NFR repository'!R157) &amp; "C" &amp; TEXT(32 + $AU$2,"0"),FALSE)&lt;&gt;""),'NFR repository'!I157,0)</f>
        <v>#REF!</v>
      </c>
      <c r="AV157" s="233" t="e">
        <f ca="1">IF(AND('NFR repository'!H157=Params!$I$3,INDIRECT("'NFR repository'!L" &amp; ROW('NFR repository'!R157) &amp; "C" &amp; TEXT(36 + $AV$2,"0"),FALSE)&lt;&gt;""),'NFR repository'!I157,0)</f>
        <v>#REF!</v>
      </c>
      <c r="AW157" s="92">
        <f>IF(AND('NFR repository'!$H157=Params!$I$3,IFERROR(FIND(AW$1,'NFR repository'!$U157)&gt;0,FALSE)),'NFR repository'!$I157,0)</f>
        <v>0</v>
      </c>
      <c r="AX157" s="231">
        <f>IF(AND('NFR repository'!$H157=Params!$I$3,Synthesis!$I$8&lt;&gt;Params!$B$17,IFERROR(FIND(AX$1,'NFR repository'!$U157)&gt;0,FALSE)),'NFR repository'!$I157,0)</f>
        <v>0</v>
      </c>
      <c r="AY157" s="231">
        <f>IF(AND('NFR repository'!$H157=Params!$I$3,IFERROR(FIND(AY$1,'NFR repository'!$U157)&gt;0,FALSE)),'NFR repository'!$I157,0)</f>
        <v>0</v>
      </c>
      <c r="AZ157" s="231">
        <f>IF(AND('NFR repository'!$H157=Params!$I$3,IFERROR(FIND(AZ$1,'NFR repository'!$U157)&gt;0,FALSE)),'NFR repository'!$I157,0)</f>
        <v>0</v>
      </c>
      <c r="BA157" s="231">
        <f>IF(AND('NFR repository'!$H157=Params!$I$3,IFERROR(FIND(BA$1,'NFR repository'!$U157)&gt;0,FALSE)),'NFR repository'!$I157,0)</f>
        <v>0</v>
      </c>
      <c r="BB157" s="231">
        <f>IF(AND('NFR repository'!$H157=Params!$I$3,IFERROR(FIND(BB$1,'NFR repository'!$U157)&gt;0,FALSE)),'NFR repository'!$I157,0)</f>
        <v>0</v>
      </c>
      <c r="BC157" s="231">
        <f>IF(AND('NFR repository'!$H157=Params!$I$3,IFERROR(FIND(BC$1,'NFR repository'!$U157)&gt;0,FALSE)),'NFR repository'!$I157,0)</f>
        <v>0</v>
      </c>
      <c r="BD157" s="231">
        <f>IF(AND('NFR repository'!$H157=Params!$I$3,IFERROR(FIND(BD$1,'NFR repository'!$U157)&gt;0,FALSE)),'NFR repository'!$I157,0)</f>
        <v>0</v>
      </c>
      <c r="BE157" s="93">
        <f>IF(AND('NFR repository'!$H157=Params!$I$3,IFERROR(FIND(BE$1,'NFR repository'!$U157)&gt;0,FALSE)),'NFR repository'!$I157,0)</f>
        <v>0</v>
      </c>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row>
    <row r="158" spans="1:84" ht="45" x14ac:dyDescent="0.25">
      <c r="A158" s="2"/>
      <c r="B158" s="190" t="s">
        <v>721</v>
      </c>
      <c r="C158" s="191" t="s">
        <v>830</v>
      </c>
      <c r="D158" s="202" t="s">
        <v>137</v>
      </c>
      <c r="E158" s="87" t="s">
        <v>832</v>
      </c>
      <c r="F158" s="38" t="s">
        <v>583</v>
      </c>
      <c r="G158" s="78" t="s">
        <v>826</v>
      </c>
      <c r="H158" s="35" t="s">
        <v>472</v>
      </c>
      <c r="I158" s="72" t="s">
        <v>41</v>
      </c>
      <c r="J158" s="228"/>
      <c r="K158" s="228"/>
      <c r="L158" s="201"/>
      <c r="M158" s="80" t="s">
        <v>130</v>
      </c>
      <c r="N158" s="80" t="s">
        <v>803</v>
      </c>
      <c r="O158" s="78" t="s">
        <v>576</v>
      </c>
      <c r="P158" s="78" t="s">
        <v>577</v>
      </c>
      <c r="Q158" s="78" t="s">
        <v>46</v>
      </c>
      <c r="R158" s="78" t="s">
        <v>46</v>
      </c>
      <c r="S158" s="38" t="s">
        <v>46</v>
      </c>
      <c r="T158" s="38" t="s">
        <v>46</v>
      </c>
      <c r="U158" s="38" t="s">
        <v>724</v>
      </c>
      <c r="V158" s="40" t="s">
        <v>591</v>
      </c>
      <c r="W158" s="11"/>
      <c r="X158" s="11"/>
      <c r="Y158" s="11"/>
      <c r="Z158" s="11"/>
      <c r="AA158" s="11"/>
      <c r="AB158" s="11"/>
      <c r="AC158" s="11"/>
      <c r="AD158" s="11"/>
      <c r="AE158" s="11"/>
      <c r="AF158" s="11"/>
      <c r="AG158" s="11"/>
      <c r="AH158" s="11"/>
      <c r="AI158" s="11"/>
      <c r="AJ158" s="11"/>
      <c r="AK158" s="11"/>
      <c r="AL158" s="11"/>
      <c r="AM158" s="11"/>
      <c r="AN158" s="11"/>
      <c r="AO158" s="11" t="s">
        <v>128</v>
      </c>
      <c r="AP158" s="11"/>
      <c r="AQ158" s="11"/>
      <c r="AR158" s="2"/>
      <c r="AS158" s="92" t="e">
        <f ca="1">IF(AND('NFR repository'!H158=Params!$I$3,INDIRECT("'NFR repository'!L" &amp; ROW('NFR repository'!A158) &amp; "C" &amp; TEXT(24 + $AS$2,"0"),FALSE)&lt;&gt;""),'NFR repository'!I158,0)</f>
        <v>#REF!</v>
      </c>
      <c r="AT158" s="252" t="e">
        <f ca="1">IF(AND('NFR repository'!H158=Params!$I$3,INDIRECT("'NFR repository'!L" &amp; ROW('NFR repository'!R158) &amp; "C" &amp; TEXT(28 + $AT$2,"0"),FALSE)&lt;&gt;""),'NFR repository'!I158,0)</f>
        <v>#REF!</v>
      </c>
      <c r="AU158" s="252" t="e">
        <f ca="1">IF(AND('NFR repository'!H158=Params!$I$3,INDIRECT("'NFR repository'!L" &amp; ROW('NFR repository'!R158) &amp; "C" &amp; TEXT(32 + $AU$2,"0"),FALSE)&lt;&gt;""),'NFR repository'!I158,0)</f>
        <v>#REF!</v>
      </c>
      <c r="AV158" s="253" t="e">
        <f ca="1">IF(AND('NFR repository'!H158=Params!$I$3,INDIRECT("'NFR repository'!L" &amp; ROW('NFR repository'!R158) &amp; "C" &amp; TEXT(36 + $AV$2,"0"),FALSE)&lt;&gt;""),'NFR repository'!I158,0)</f>
        <v>#REF!</v>
      </c>
      <c r="AW158" s="92">
        <f>IF(AND('NFR repository'!$H158=Params!$I$3,IFERROR(FIND(AW$1,'NFR repository'!$U158)&gt;0,FALSE)),'NFR repository'!$I158,0)</f>
        <v>0</v>
      </c>
      <c r="AX158" s="252">
        <f>IF(AND('NFR repository'!$H158=Params!$I$3,Synthesis!$I$8&lt;&gt;Params!$B$17,IFERROR(FIND(AX$1,'NFR repository'!$U158)&gt;0,FALSE)),'NFR repository'!$I158,0)</f>
        <v>0</v>
      </c>
      <c r="AY158" s="252">
        <f>IF(AND('NFR repository'!$H158=Params!$I$3,IFERROR(FIND(AY$1,'NFR repository'!$U158)&gt;0,FALSE)),'NFR repository'!$I158,0)</f>
        <v>0</v>
      </c>
      <c r="AZ158" s="252">
        <f>IF(AND('NFR repository'!$H158=Params!$I$3,IFERROR(FIND(AZ$1,'NFR repository'!$U158)&gt;0,FALSE)),'NFR repository'!$I158,0)</f>
        <v>0</v>
      </c>
      <c r="BA158" s="252">
        <f>IF(AND('NFR repository'!$H158=Params!$I$3,IFERROR(FIND(BA$1,'NFR repository'!$U158)&gt;0,FALSE)),'NFR repository'!$I158,0)</f>
        <v>0</v>
      </c>
      <c r="BB158" s="252">
        <f>IF(AND('NFR repository'!$H158=Params!$I$3,IFERROR(FIND(BB$1,'NFR repository'!$U158)&gt;0,FALSE)),'NFR repository'!$I158,0)</f>
        <v>0</v>
      </c>
      <c r="BC158" s="252">
        <f>IF(AND('NFR repository'!$H158=Params!$I$3,IFERROR(FIND(BC$1,'NFR repository'!$U158)&gt;0,FALSE)),'NFR repository'!$I158,0)</f>
        <v>0</v>
      </c>
      <c r="BD158" s="252">
        <f>IF(AND('NFR repository'!$H158=Params!$I$3,IFERROR(FIND(BD$1,'NFR repository'!$U158)&gt;0,FALSE)),'NFR repository'!$I158,0)</f>
        <v>0</v>
      </c>
      <c r="BE158" s="93">
        <f>IF(AND('NFR repository'!$H158=Params!$I$3,IFERROR(FIND(BE$1,'NFR repository'!$U158)&gt;0,FALSE)),'NFR repository'!$I158,0)</f>
        <v>0</v>
      </c>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row>
    <row r="159" spans="1:84" ht="75" x14ac:dyDescent="0.25">
      <c r="A159" s="2"/>
      <c r="B159" s="190" t="s">
        <v>722</v>
      </c>
      <c r="C159" s="191" t="s">
        <v>831</v>
      </c>
      <c r="D159" s="202" t="s">
        <v>137</v>
      </c>
      <c r="E159" s="87" t="s">
        <v>833</v>
      </c>
      <c r="F159" s="38" t="s">
        <v>583</v>
      </c>
      <c r="G159" s="78" t="s">
        <v>826</v>
      </c>
      <c r="H159" s="35" t="s">
        <v>472</v>
      </c>
      <c r="I159" s="72" t="s">
        <v>41</v>
      </c>
      <c r="J159" s="228"/>
      <c r="K159" s="228"/>
      <c r="L159" s="201"/>
      <c r="M159" s="80" t="s">
        <v>130</v>
      </c>
      <c r="N159" s="80" t="s">
        <v>803</v>
      </c>
      <c r="O159" s="78" t="s">
        <v>576</v>
      </c>
      <c r="P159" s="78" t="s">
        <v>577</v>
      </c>
      <c r="Q159" s="78" t="s">
        <v>46</v>
      </c>
      <c r="R159" s="78" t="s">
        <v>46</v>
      </c>
      <c r="S159" s="38" t="s">
        <v>46</v>
      </c>
      <c r="T159" s="38" t="s">
        <v>46</v>
      </c>
      <c r="U159" s="38" t="s">
        <v>724</v>
      </c>
      <c r="V159" s="40" t="s">
        <v>591</v>
      </c>
      <c r="W159" s="11"/>
      <c r="X159" s="11"/>
      <c r="Y159" s="11"/>
      <c r="Z159" s="11"/>
      <c r="AA159" s="11"/>
      <c r="AB159" s="11"/>
      <c r="AC159" s="11"/>
      <c r="AD159" s="11"/>
      <c r="AE159" s="11"/>
      <c r="AF159" s="11"/>
      <c r="AG159" s="11"/>
      <c r="AH159" s="11"/>
      <c r="AI159" s="11"/>
      <c r="AJ159" s="11"/>
      <c r="AK159" s="11"/>
      <c r="AL159" s="11"/>
      <c r="AM159" s="11"/>
      <c r="AN159" s="11"/>
      <c r="AO159" s="11" t="s">
        <v>128</v>
      </c>
      <c r="AP159" s="11"/>
      <c r="AQ159" s="11"/>
      <c r="AR159" s="2"/>
      <c r="AS159" s="92" t="e">
        <f ca="1">IF(AND('NFR repository'!H159=Params!$I$3,INDIRECT("'NFR repository'!L" &amp; ROW('NFR repository'!A159) &amp; "C" &amp; TEXT(24 + $AS$2,"0"),FALSE)&lt;&gt;""),'NFR repository'!I159,0)</f>
        <v>#REF!</v>
      </c>
      <c r="AT159" s="252" t="e">
        <f ca="1">IF(AND('NFR repository'!H159=Params!$I$3,INDIRECT("'NFR repository'!L" &amp; ROW('NFR repository'!R159) &amp; "C" &amp; TEXT(28 + $AT$2,"0"),FALSE)&lt;&gt;""),'NFR repository'!I159,0)</f>
        <v>#REF!</v>
      </c>
      <c r="AU159" s="252" t="e">
        <f ca="1">IF(AND('NFR repository'!H159=Params!$I$3,INDIRECT("'NFR repository'!L" &amp; ROW('NFR repository'!R159) &amp; "C" &amp; TEXT(32 + $AU$2,"0"),FALSE)&lt;&gt;""),'NFR repository'!I159,0)</f>
        <v>#REF!</v>
      </c>
      <c r="AV159" s="253" t="e">
        <f ca="1">IF(AND('NFR repository'!H159=Params!$I$3,INDIRECT("'NFR repository'!L" &amp; ROW('NFR repository'!R159) &amp; "C" &amp; TEXT(36 + $AV$2,"0"),FALSE)&lt;&gt;""),'NFR repository'!I159,0)</f>
        <v>#REF!</v>
      </c>
      <c r="AW159" s="92">
        <f>IF(AND('NFR repository'!$H159=Params!$I$3,IFERROR(FIND(AW$1,'NFR repository'!$U159)&gt;0,FALSE)),'NFR repository'!$I159,0)</f>
        <v>0</v>
      </c>
      <c r="AX159" s="252">
        <f>IF(AND('NFR repository'!$H159=Params!$I$3,Synthesis!$I$8&lt;&gt;Params!$B$17,IFERROR(FIND(AX$1,'NFR repository'!$U159)&gt;0,FALSE)),'NFR repository'!$I159,0)</f>
        <v>0</v>
      </c>
      <c r="AY159" s="252">
        <f>IF(AND('NFR repository'!$H159=Params!$I$3,IFERROR(FIND(AY$1,'NFR repository'!$U159)&gt;0,FALSE)),'NFR repository'!$I159,0)</f>
        <v>0</v>
      </c>
      <c r="AZ159" s="252">
        <f>IF(AND('NFR repository'!$H159=Params!$I$3,IFERROR(FIND(AZ$1,'NFR repository'!$U159)&gt;0,FALSE)),'NFR repository'!$I159,0)</f>
        <v>0</v>
      </c>
      <c r="BA159" s="252">
        <f>IF(AND('NFR repository'!$H159=Params!$I$3,IFERROR(FIND(BA$1,'NFR repository'!$U159)&gt;0,FALSE)),'NFR repository'!$I159,0)</f>
        <v>0</v>
      </c>
      <c r="BB159" s="252">
        <f>IF(AND('NFR repository'!$H159=Params!$I$3,IFERROR(FIND(BB$1,'NFR repository'!$U159)&gt;0,FALSE)),'NFR repository'!$I159,0)</f>
        <v>0</v>
      </c>
      <c r="BC159" s="252">
        <f>IF(AND('NFR repository'!$H159=Params!$I$3,IFERROR(FIND(BC$1,'NFR repository'!$U159)&gt;0,FALSE)),'NFR repository'!$I159,0)</f>
        <v>0</v>
      </c>
      <c r="BD159" s="252">
        <f>IF(AND('NFR repository'!$H159=Params!$I$3,IFERROR(FIND(BD$1,'NFR repository'!$U159)&gt;0,FALSE)),'NFR repository'!$I159,0)</f>
        <v>0</v>
      </c>
      <c r="BE159" s="93">
        <f>IF(AND('NFR repository'!$H159=Params!$I$3,IFERROR(FIND(BE$1,'NFR repository'!$U159)&gt;0,FALSE)),'NFR repository'!$I159,0)</f>
        <v>0</v>
      </c>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row>
    <row r="160" spans="1:84" ht="18.75" x14ac:dyDescent="0.25">
      <c r="A160" s="1"/>
      <c r="B160" s="182">
        <v>7</v>
      </c>
      <c r="C160" s="183" t="s">
        <v>67</v>
      </c>
      <c r="D160" s="206"/>
      <c r="E160" s="206"/>
      <c r="F160" s="207"/>
      <c r="G160" s="197"/>
      <c r="H160" s="207"/>
      <c r="I160" s="208"/>
      <c r="J160" s="219"/>
      <c r="K160" s="219"/>
      <c r="L160" s="209"/>
      <c r="M160" s="197"/>
      <c r="N160" s="197"/>
      <c r="O160" s="197"/>
      <c r="P160" s="197"/>
      <c r="Q160" s="197"/>
      <c r="R160" s="197"/>
      <c r="S160" s="207"/>
      <c r="T160" s="207"/>
      <c r="U160" s="206"/>
      <c r="V160" s="206"/>
      <c r="W160" s="184"/>
      <c r="X160" s="185"/>
      <c r="Y160" s="185"/>
      <c r="Z160" s="185"/>
      <c r="AA160" s="185"/>
      <c r="AB160" s="185"/>
      <c r="AC160" s="185"/>
      <c r="AD160" s="185"/>
      <c r="AE160" s="185"/>
      <c r="AF160" s="185"/>
      <c r="AG160" s="185"/>
      <c r="AH160" s="185"/>
      <c r="AI160" s="185"/>
      <c r="AJ160" s="185"/>
      <c r="AK160" s="185"/>
      <c r="AL160" s="185"/>
      <c r="AM160" s="185"/>
      <c r="AN160" s="185"/>
      <c r="AO160" s="185"/>
      <c r="AP160" s="185"/>
      <c r="AQ160" s="185"/>
      <c r="AR160" s="2"/>
      <c r="AS160" s="92" t="e">
        <f ca="1">IF(AND('NFR repository'!H160=Params!$I$3,INDIRECT("'NFR repository'!L" &amp; ROW('NFR repository'!A160) &amp; "C" &amp; TEXT(24 + $AS$2,"0"),FALSE)&lt;&gt;""),'NFR repository'!I160,0)</f>
        <v>#REF!</v>
      </c>
      <c r="AT160" s="168" t="e">
        <f ca="1">IF(AND('NFR repository'!H160=Params!$I$3,INDIRECT("'NFR repository'!L" &amp; ROW('NFR repository'!R160) &amp; "C" &amp; TEXT(28 + $AT$2,"0"),FALSE)&lt;&gt;""),'NFR repository'!I160,0)</f>
        <v>#REF!</v>
      </c>
      <c r="AU160" s="168" t="e">
        <f ca="1">IF(AND('NFR repository'!H160=Params!$I$3,INDIRECT("'NFR repository'!L" &amp; ROW('NFR repository'!R160) &amp; "C" &amp; TEXT(32 + $AU$2,"0"),FALSE)&lt;&gt;""),'NFR repository'!I160,0)</f>
        <v>#REF!</v>
      </c>
      <c r="AV160" s="233" t="e">
        <f ca="1">IF(AND('NFR repository'!H160=Params!$I$3,INDIRECT("'NFR repository'!L" &amp; ROW('NFR repository'!R160) &amp; "C" &amp; TEXT(36 + $AV$2,"0"),FALSE)&lt;&gt;""),'NFR repository'!I160,0)</f>
        <v>#REF!</v>
      </c>
      <c r="AW160" s="92">
        <f>IF(AND('NFR repository'!$H160=Params!$I$3,IFERROR(FIND(AW$1,'NFR repository'!$U160)&gt;0,FALSE)),'NFR repository'!$I160,0)</f>
        <v>0</v>
      </c>
      <c r="AX160" s="231">
        <f>IF(AND('NFR repository'!$H160=Params!$I$3,Synthesis!$I$8&lt;&gt;Params!$B$17,IFERROR(FIND(AX$1,'NFR repository'!$U160)&gt;0,FALSE)),'NFR repository'!$I160,0)</f>
        <v>0</v>
      </c>
      <c r="AY160" s="231">
        <f>IF(AND('NFR repository'!$H160=Params!$I$3,IFERROR(FIND(AY$1,'NFR repository'!$U160)&gt;0,FALSE)),'NFR repository'!$I160,0)</f>
        <v>0</v>
      </c>
      <c r="AZ160" s="231">
        <f>IF(AND('NFR repository'!$H160=Params!$I$3,IFERROR(FIND(AZ$1,'NFR repository'!$U160)&gt;0,FALSE)),'NFR repository'!$I160,0)</f>
        <v>0</v>
      </c>
      <c r="BA160" s="231">
        <f>IF(AND('NFR repository'!$H160=Params!$I$3,IFERROR(FIND(BA$1,'NFR repository'!$U160)&gt;0,FALSE)),'NFR repository'!$I160,0)</f>
        <v>0</v>
      </c>
      <c r="BB160" s="231">
        <f>IF(AND('NFR repository'!$H160=Params!$I$3,IFERROR(FIND(BB$1,'NFR repository'!$U160)&gt;0,FALSE)),'NFR repository'!$I160,0)</f>
        <v>0</v>
      </c>
      <c r="BC160" s="231">
        <f>IF(AND('NFR repository'!$H160=Params!$I$3,IFERROR(FIND(BC$1,'NFR repository'!$U160)&gt;0,FALSE)),'NFR repository'!$I160,0)</f>
        <v>0</v>
      </c>
      <c r="BD160" s="231">
        <f>IF(AND('NFR repository'!$H160=Params!$I$3,IFERROR(FIND(BD$1,'NFR repository'!$U160)&gt;0,FALSE)),'NFR repository'!$I160,0)</f>
        <v>0</v>
      </c>
      <c r="BE160" s="93">
        <f>IF(AND('NFR repository'!$H160=Params!$I$3,IFERROR(FIND(BE$1,'NFR repository'!$U160)&gt;0,FALSE)),'NFR repository'!$I160,0)</f>
        <v>0</v>
      </c>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row>
    <row r="161" spans="1:84" ht="15.75" x14ac:dyDescent="0.25">
      <c r="A161" s="1"/>
      <c r="B161" s="52" t="s">
        <v>300</v>
      </c>
      <c r="C161" s="39" t="s">
        <v>301</v>
      </c>
      <c r="D161" s="88"/>
      <c r="E161" s="88"/>
      <c r="F161" s="41"/>
      <c r="G161" s="77"/>
      <c r="H161" s="41"/>
      <c r="I161" s="50"/>
      <c r="J161" s="218"/>
      <c r="K161" s="218"/>
      <c r="L161" s="205"/>
      <c r="M161" s="77"/>
      <c r="N161" s="77"/>
      <c r="O161" s="77"/>
      <c r="P161" s="77"/>
      <c r="Q161" s="77"/>
      <c r="R161" s="77"/>
      <c r="S161" s="41"/>
      <c r="T161" s="41"/>
      <c r="U161" s="41"/>
      <c r="V161" s="41"/>
      <c r="W161" s="4"/>
      <c r="X161" s="4"/>
      <c r="Y161" s="4"/>
      <c r="Z161" s="4"/>
      <c r="AA161" s="4"/>
      <c r="AB161" s="4"/>
      <c r="AC161" s="4"/>
      <c r="AD161" s="4"/>
      <c r="AE161" s="4"/>
      <c r="AF161" s="4"/>
      <c r="AG161" s="4"/>
      <c r="AH161" s="4"/>
      <c r="AI161" s="4"/>
      <c r="AJ161" s="4"/>
      <c r="AK161" s="4"/>
      <c r="AL161" s="4"/>
      <c r="AM161" s="4"/>
      <c r="AN161" s="4"/>
      <c r="AO161" s="4"/>
      <c r="AP161" s="4"/>
      <c r="AQ161" s="4"/>
      <c r="AR161" s="2"/>
      <c r="AS161" s="92" t="e">
        <f ca="1">IF(AND('NFR repository'!H161=Params!$I$3,INDIRECT("'NFR repository'!L" &amp; ROW('NFR repository'!A161) &amp; "C" &amp; TEXT(24 + $AS$2,"0"),FALSE)&lt;&gt;""),'NFR repository'!I161,0)</f>
        <v>#REF!</v>
      </c>
      <c r="AT161" s="168" t="e">
        <f ca="1">IF(AND('NFR repository'!H161=Params!$I$3,INDIRECT("'NFR repository'!L" &amp; ROW('NFR repository'!R161) &amp; "C" &amp; TEXT(28 + $AT$2,"0"),FALSE)&lt;&gt;""),'NFR repository'!I161,0)</f>
        <v>#REF!</v>
      </c>
      <c r="AU161" s="168" t="e">
        <f ca="1">IF(AND('NFR repository'!H161=Params!$I$3,INDIRECT("'NFR repository'!L" &amp; ROW('NFR repository'!R161) &amp; "C" &amp; TEXT(32 + $AU$2,"0"),FALSE)&lt;&gt;""),'NFR repository'!I161,0)</f>
        <v>#REF!</v>
      </c>
      <c r="AV161" s="233" t="e">
        <f ca="1">IF(AND('NFR repository'!H161=Params!$I$3,INDIRECT("'NFR repository'!L" &amp; ROW('NFR repository'!R161) &amp; "C" &amp; TEXT(36 + $AV$2,"0"),FALSE)&lt;&gt;""),'NFR repository'!I161,0)</f>
        <v>#REF!</v>
      </c>
      <c r="AW161" s="92">
        <f>IF(AND('NFR repository'!$H161=Params!$I$3,IFERROR(FIND(AW$1,'NFR repository'!$U161)&gt;0,FALSE)),'NFR repository'!$I161,0)</f>
        <v>0</v>
      </c>
      <c r="AX161" s="231">
        <f>IF(AND('NFR repository'!$H161=Params!$I$3,Synthesis!$I$8&lt;&gt;Params!$B$17,IFERROR(FIND(AX$1,'NFR repository'!$U161)&gt;0,FALSE)),'NFR repository'!$I161,0)</f>
        <v>0</v>
      </c>
      <c r="AY161" s="231">
        <f>IF(AND('NFR repository'!$H161=Params!$I$3,IFERROR(FIND(AY$1,'NFR repository'!$U161)&gt;0,FALSE)),'NFR repository'!$I161,0)</f>
        <v>0</v>
      </c>
      <c r="AZ161" s="231">
        <f>IF(AND('NFR repository'!$H161=Params!$I$3,IFERROR(FIND(AZ$1,'NFR repository'!$U161)&gt;0,FALSE)),'NFR repository'!$I161,0)</f>
        <v>0</v>
      </c>
      <c r="BA161" s="231">
        <f>IF(AND('NFR repository'!$H161=Params!$I$3,IFERROR(FIND(BA$1,'NFR repository'!$U161)&gt;0,FALSE)),'NFR repository'!$I161,0)</f>
        <v>0</v>
      </c>
      <c r="BB161" s="231">
        <f>IF(AND('NFR repository'!$H161=Params!$I$3,IFERROR(FIND(BB$1,'NFR repository'!$U161)&gt;0,FALSE)),'NFR repository'!$I161,0)</f>
        <v>0</v>
      </c>
      <c r="BC161" s="231">
        <f>IF(AND('NFR repository'!$H161=Params!$I$3,IFERROR(FIND(BC$1,'NFR repository'!$U161)&gt;0,FALSE)),'NFR repository'!$I161,0)</f>
        <v>0</v>
      </c>
      <c r="BD161" s="231">
        <f>IF(AND('NFR repository'!$H161=Params!$I$3,IFERROR(FIND(BD$1,'NFR repository'!$U161)&gt;0,FALSE)),'NFR repository'!$I161,0)</f>
        <v>0</v>
      </c>
      <c r="BE161" s="93">
        <f>IF(AND('NFR repository'!$H161=Params!$I$3,IFERROR(FIND(BE$1,'NFR repository'!$U161)&gt;0,FALSE)),'NFR repository'!$I161,0)</f>
        <v>0</v>
      </c>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row>
    <row r="162" spans="1:84" ht="45" x14ac:dyDescent="0.25">
      <c r="A162" s="1"/>
      <c r="B162" s="193" t="s">
        <v>302</v>
      </c>
      <c r="C162" s="194" t="s">
        <v>434</v>
      </c>
      <c r="D162" s="36" t="s">
        <v>137</v>
      </c>
      <c r="E162" s="36"/>
      <c r="F162" s="35" t="s">
        <v>289</v>
      </c>
      <c r="G162" s="51" t="s">
        <v>312</v>
      </c>
      <c r="H162" s="35" t="s">
        <v>472</v>
      </c>
      <c r="I162" s="72" t="s">
        <v>41</v>
      </c>
      <c r="J162" s="215"/>
      <c r="K162" s="215"/>
      <c r="L162" s="195"/>
      <c r="M162" s="79" t="s">
        <v>130</v>
      </c>
      <c r="N162" s="79" t="s">
        <v>141</v>
      </c>
      <c r="O162" s="51" t="s">
        <v>575</v>
      </c>
      <c r="P162" s="51" t="s">
        <v>575</v>
      </c>
      <c r="Q162" s="79" t="s">
        <v>280</v>
      </c>
      <c r="R162" s="79" t="s">
        <v>141</v>
      </c>
      <c r="S162" s="35" t="s">
        <v>309</v>
      </c>
      <c r="T162" s="35" t="s">
        <v>46</v>
      </c>
      <c r="U162" s="35" t="s">
        <v>173</v>
      </c>
      <c r="V162" s="38" t="s">
        <v>145</v>
      </c>
      <c r="W162" s="3" t="s">
        <v>128</v>
      </c>
      <c r="X162" s="3" t="s">
        <v>128</v>
      </c>
      <c r="Y162" s="3" t="s">
        <v>128</v>
      </c>
      <c r="Z162" s="3" t="s">
        <v>128</v>
      </c>
      <c r="AA162" s="3" t="s">
        <v>128</v>
      </c>
      <c r="AB162" s="3" t="s">
        <v>128</v>
      </c>
      <c r="AC162" s="3" t="s">
        <v>128</v>
      </c>
      <c r="AD162" s="3" t="s">
        <v>128</v>
      </c>
      <c r="AE162" s="3" t="s">
        <v>128</v>
      </c>
      <c r="AF162" s="3" t="s">
        <v>128</v>
      </c>
      <c r="AG162" s="3" t="s">
        <v>128</v>
      </c>
      <c r="AH162" s="3" t="s">
        <v>128</v>
      </c>
      <c r="AI162" s="3" t="s">
        <v>128</v>
      </c>
      <c r="AJ162" s="3" t="s">
        <v>128</v>
      </c>
      <c r="AK162" s="3" t="s">
        <v>128</v>
      </c>
      <c r="AL162" s="3" t="s">
        <v>128</v>
      </c>
      <c r="AM162" s="3"/>
      <c r="AN162" s="3"/>
      <c r="AO162" s="3"/>
      <c r="AP162" s="3"/>
      <c r="AQ162" s="3"/>
      <c r="AR162" s="2"/>
      <c r="AS162" s="92" t="e">
        <f ca="1">IF(AND('NFR repository'!H162=Params!$I$3,INDIRECT("'NFR repository'!L" &amp; ROW('NFR repository'!A162) &amp; "C" &amp; TEXT(24 + $AS$2,"0"),FALSE)&lt;&gt;""),'NFR repository'!I162,0)</f>
        <v>#REF!</v>
      </c>
      <c r="AT162" s="168" t="e">
        <f ca="1">IF(AND('NFR repository'!H162=Params!$I$3,INDIRECT("'NFR repository'!L" &amp; ROW('NFR repository'!R162) &amp; "C" &amp; TEXT(28 + $AT$2,"0"),FALSE)&lt;&gt;""),'NFR repository'!I162,0)</f>
        <v>#REF!</v>
      </c>
      <c r="AU162" s="168" t="e">
        <f ca="1">IF(AND('NFR repository'!H162=Params!$I$3,INDIRECT("'NFR repository'!L" &amp; ROW('NFR repository'!R162) &amp; "C" &amp; TEXT(32 + $AU$2,"0"),FALSE)&lt;&gt;""),'NFR repository'!I162,0)</f>
        <v>#REF!</v>
      </c>
      <c r="AV162" s="233" t="e">
        <f ca="1">IF(AND('NFR repository'!H162=Params!$I$3,INDIRECT("'NFR repository'!L" &amp; ROW('NFR repository'!R162) &amp; "C" &amp; TEXT(36 + $AV$2,"0"),FALSE)&lt;&gt;""),'NFR repository'!I162,0)</f>
        <v>#REF!</v>
      </c>
      <c r="AW162" s="92">
        <f>IF(AND('NFR repository'!$H162=Params!$I$3,IFERROR(FIND(AW$1,'NFR repository'!$U162)&gt;0,FALSE)),'NFR repository'!$I162,0)</f>
        <v>0</v>
      </c>
      <c r="AX162" s="231">
        <f>IF(AND('NFR repository'!$H162=Params!$I$3,Synthesis!$I$8&lt;&gt;Params!$B$17,IFERROR(FIND(AX$1,'NFR repository'!$U162)&gt;0,FALSE)),'NFR repository'!$I162,0)</f>
        <v>0</v>
      </c>
      <c r="AY162" s="231">
        <f>IF(AND('NFR repository'!$H162=Params!$I$3,IFERROR(FIND(AY$1,'NFR repository'!$U162)&gt;0,FALSE)),'NFR repository'!$I162,0)</f>
        <v>0</v>
      </c>
      <c r="AZ162" s="231">
        <f>IF(AND('NFR repository'!$H162=Params!$I$3,IFERROR(FIND(AZ$1,'NFR repository'!$U162)&gt;0,FALSE)),'NFR repository'!$I162,0)</f>
        <v>0</v>
      </c>
      <c r="BA162" s="231">
        <f>IF(AND('NFR repository'!$H162=Params!$I$3,IFERROR(FIND(BA$1,'NFR repository'!$U162)&gt;0,FALSE)),'NFR repository'!$I162,0)</f>
        <v>0</v>
      </c>
      <c r="BB162" s="231">
        <f>IF(AND('NFR repository'!$H162=Params!$I$3,IFERROR(FIND(BB$1,'NFR repository'!$U162)&gt;0,FALSE)),'NFR repository'!$I162,0)</f>
        <v>0</v>
      </c>
      <c r="BC162" s="231">
        <f>IF(AND('NFR repository'!$H162=Params!$I$3,IFERROR(FIND(BC$1,'NFR repository'!$U162)&gt;0,FALSE)),'NFR repository'!$I162,0)</f>
        <v>0</v>
      </c>
      <c r="BD162" s="231">
        <f>IF(AND('NFR repository'!$H162=Params!$I$3,IFERROR(FIND(BD$1,'NFR repository'!$U162)&gt;0,FALSE)),'NFR repository'!$I162,0)</f>
        <v>0</v>
      </c>
      <c r="BE162" s="93">
        <f>IF(AND('NFR repository'!$H162=Params!$I$3,IFERROR(FIND(BE$1,'NFR repository'!$U162)&gt;0,FALSE)),'NFR repository'!$I162,0)</f>
        <v>0</v>
      </c>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row>
    <row r="163" spans="1:84" ht="60" x14ac:dyDescent="0.25">
      <c r="A163" s="1"/>
      <c r="B163" s="193" t="s">
        <v>303</v>
      </c>
      <c r="C163" s="194" t="s">
        <v>435</v>
      </c>
      <c r="D163" s="83" t="s">
        <v>793</v>
      </c>
      <c r="E163" s="84"/>
      <c r="F163" s="35" t="s">
        <v>306</v>
      </c>
      <c r="G163" s="51" t="s">
        <v>311</v>
      </c>
      <c r="H163" s="35" t="s">
        <v>472</v>
      </c>
      <c r="I163" s="72" t="s">
        <v>41</v>
      </c>
      <c r="J163" s="215"/>
      <c r="K163" s="215"/>
      <c r="L163" s="195"/>
      <c r="M163" s="79" t="s">
        <v>130</v>
      </c>
      <c r="N163" s="79" t="s">
        <v>141</v>
      </c>
      <c r="O163" s="51" t="s">
        <v>575</v>
      </c>
      <c r="P163" s="51" t="s">
        <v>575</v>
      </c>
      <c r="Q163" s="79" t="s">
        <v>280</v>
      </c>
      <c r="R163" s="79" t="s">
        <v>141</v>
      </c>
      <c r="S163" s="35" t="s">
        <v>309</v>
      </c>
      <c r="T163" s="35" t="s">
        <v>46</v>
      </c>
      <c r="U163" s="35" t="s">
        <v>145</v>
      </c>
      <c r="V163" s="38" t="s">
        <v>145</v>
      </c>
      <c r="W163" s="3"/>
      <c r="X163" s="3"/>
      <c r="Y163" s="3"/>
      <c r="Z163" s="3"/>
      <c r="AA163" s="3"/>
      <c r="AB163" s="3"/>
      <c r="AC163" s="3"/>
      <c r="AD163" s="3"/>
      <c r="AE163" s="3"/>
      <c r="AF163" s="3"/>
      <c r="AG163" s="3"/>
      <c r="AH163" s="3"/>
      <c r="AI163" s="3"/>
      <c r="AJ163" s="3"/>
      <c r="AK163" s="3"/>
      <c r="AL163" s="3"/>
      <c r="AM163" s="3"/>
      <c r="AN163" s="3"/>
      <c r="AO163" s="3"/>
      <c r="AP163" s="3"/>
      <c r="AQ163" s="3"/>
      <c r="AR163" s="2"/>
      <c r="AS163" s="92" t="e">
        <f ca="1">IF(AND('NFR repository'!H163=Params!$I$3,INDIRECT("'NFR repository'!L" &amp; ROW('NFR repository'!A163) &amp; "C" &amp; TEXT(24 + $AS$2,"0"),FALSE)&lt;&gt;""),'NFR repository'!I163,0)</f>
        <v>#REF!</v>
      </c>
      <c r="AT163" s="168" t="e">
        <f ca="1">IF(AND('NFR repository'!H163=Params!$I$3,INDIRECT("'NFR repository'!L" &amp; ROW('NFR repository'!R163) &amp; "C" &amp; TEXT(28 + $AT$2,"0"),FALSE)&lt;&gt;""),'NFR repository'!I163,0)</f>
        <v>#REF!</v>
      </c>
      <c r="AU163" s="168" t="e">
        <f ca="1">IF(AND('NFR repository'!H163=Params!$I$3,INDIRECT("'NFR repository'!L" &amp; ROW('NFR repository'!R163) &amp; "C" &amp; TEXT(32 + $AU$2,"0"),FALSE)&lt;&gt;""),'NFR repository'!I163,0)</f>
        <v>#REF!</v>
      </c>
      <c r="AV163" s="233" t="e">
        <f ca="1">IF(AND('NFR repository'!H163=Params!$I$3,INDIRECT("'NFR repository'!L" &amp; ROW('NFR repository'!R163) &amp; "C" &amp; TEXT(36 + $AV$2,"0"),FALSE)&lt;&gt;""),'NFR repository'!I163,0)</f>
        <v>#REF!</v>
      </c>
      <c r="AW163" s="92">
        <f>IF(AND('NFR repository'!$H163=Params!$I$3,IFERROR(FIND(AW$1,'NFR repository'!$U163)&gt;0,FALSE)),'NFR repository'!$I163,0)</f>
        <v>0</v>
      </c>
      <c r="AX163" s="231">
        <f>IF(AND('NFR repository'!$H163=Params!$I$3,Synthesis!$I$8&lt;&gt;Params!$B$17,IFERROR(FIND(AX$1,'NFR repository'!$U163)&gt;0,FALSE)),'NFR repository'!$I163,0)</f>
        <v>0</v>
      </c>
      <c r="AY163" s="231">
        <f>IF(AND('NFR repository'!$H163=Params!$I$3,IFERROR(FIND(AY$1,'NFR repository'!$U163)&gt;0,FALSE)),'NFR repository'!$I163,0)</f>
        <v>0</v>
      </c>
      <c r="AZ163" s="231">
        <f>IF(AND('NFR repository'!$H163=Params!$I$3,IFERROR(FIND(AZ$1,'NFR repository'!$U163)&gt;0,FALSE)),'NFR repository'!$I163,0)</f>
        <v>0</v>
      </c>
      <c r="BA163" s="231">
        <f>IF(AND('NFR repository'!$H163=Params!$I$3,IFERROR(FIND(BA$1,'NFR repository'!$U163)&gt;0,FALSE)),'NFR repository'!$I163,0)</f>
        <v>0</v>
      </c>
      <c r="BB163" s="231">
        <f>IF(AND('NFR repository'!$H163=Params!$I$3,IFERROR(FIND(BB$1,'NFR repository'!$U163)&gt;0,FALSE)),'NFR repository'!$I163,0)</f>
        <v>0</v>
      </c>
      <c r="BC163" s="231">
        <f>IF(AND('NFR repository'!$H163=Params!$I$3,IFERROR(FIND(BC$1,'NFR repository'!$U163)&gt;0,FALSE)),'NFR repository'!$I163,0)</f>
        <v>0</v>
      </c>
      <c r="BD163" s="231">
        <f>IF(AND('NFR repository'!$H163=Params!$I$3,IFERROR(FIND(BD$1,'NFR repository'!$U163)&gt;0,FALSE)),'NFR repository'!$I163,0)</f>
        <v>0</v>
      </c>
      <c r="BE163" s="93">
        <f>IF(AND('NFR repository'!$H163=Params!$I$3,IFERROR(FIND(BE$1,'NFR repository'!$U163)&gt;0,FALSE)),'NFR repository'!$I163,0)</f>
        <v>0</v>
      </c>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row>
    <row r="164" spans="1:84" ht="60" x14ac:dyDescent="0.25">
      <c r="A164" s="1"/>
      <c r="B164" s="193" t="s">
        <v>305</v>
      </c>
      <c r="C164" s="194" t="s">
        <v>521</v>
      </c>
      <c r="D164" s="83" t="s">
        <v>792</v>
      </c>
      <c r="E164" s="84"/>
      <c r="F164" s="35" t="s">
        <v>289</v>
      </c>
      <c r="G164" s="51" t="s">
        <v>310</v>
      </c>
      <c r="H164" s="35" t="s">
        <v>472</v>
      </c>
      <c r="I164" s="72" t="s">
        <v>41</v>
      </c>
      <c r="J164" s="215"/>
      <c r="K164" s="215"/>
      <c r="L164" s="195"/>
      <c r="M164" s="79" t="s">
        <v>558</v>
      </c>
      <c r="N164" s="79" t="s">
        <v>307</v>
      </c>
      <c r="O164" s="51" t="s">
        <v>576</v>
      </c>
      <c r="P164" s="51" t="s">
        <v>576</v>
      </c>
      <c r="Q164" s="79" t="s">
        <v>156</v>
      </c>
      <c r="R164" s="79" t="s">
        <v>304</v>
      </c>
      <c r="S164" s="35" t="s">
        <v>309</v>
      </c>
      <c r="T164" s="35" t="s">
        <v>46</v>
      </c>
      <c r="U164" s="35" t="s">
        <v>145</v>
      </c>
      <c r="V164" s="38" t="s">
        <v>145</v>
      </c>
      <c r="W164" s="3"/>
      <c r="X164" s="3"/>
      <c r="Y164" s="3"/>
      <c r="Z164" s="3"/>
      <c r="AA164" s="3"/>
      <c r="AB164" s="3"/>
      <c r="AC164" s="3"/>
      <c r="AD164" s="3"/>
      <c r="AE164" s="3"/>
      <c r="AF164" s="3"/>
      <c r="AG164" s="3"/>
      <c r="AH164" s="3"/>
      <c r="AI164" s="3"/>
      <c r="AJ164" s="3"/>
      <c r="AK164" s="3"/>
      <c r="AL164" s="3"/>
      <c r="AM164" s="3"/>
      <c r="AN164" s="3"/>
      <c r="AO164" s="3"/>
      <c r="AP164" s="3"/>
      <c r="AQ164" s="3"/>
      <c r="AR164" s="2"/>
      <c r="AS164" s="92" t="e">
        <f ca="1">IF(AND('NFR repository'!H164=Params!$I$3,INDIRECT("'NFR repository'!L" &amp; ROW('NFR repository'!A164) &amp; "C" &amp; TEXT(24 + $AS$2,"0"),FALSE)&lt;&gt;""),'NFR repository'!I164,0)</f>
        <v>#REF!</v>
      </c>
      <c r="AT164" s="168" t="e">
        <f ca="1">IF(AND('NFR repository'!H164=Params!$I$3,INDIRECT("'NFR repository'!L" &amp; ROW('NFR repository'!R164) &amp; "C" &amp; TEXT(28 + $AT$2,"0"),FALSE)&lt;&gt;""),'NFR repository'!I164,0)</f>
        <v>#REF!</v>
      </c>
      <c r="AU164" s="168" t="e">
        <f ca="1">IF(AND('NFR repository'!H164=Params!$I$3,INDIRECT("'NFR repository'!L" &amp; ROW('NFR repository'!R164) &amp; "C" &amp; TEXT(32 + $AU$2,"0"),FALSE)&lt;&gt;""),'NFR repository'!I164,0)</f>
        <v>#REF!</v>
      </c>
      <c r="AV164" s="233" t="e">
        <f ca="1">IF(AND('NFR repository'!H164=Params!$I$3,INDIRECT("'NFR repository'!L" &amp; ROW('NFR repository'!R164) &amp; "C" &amp; TEXT(36 + $AV$2,"0"),FALSE)&lt;&gt;""),'NFR repository'!I164,0)</f>
        <v>#REF!</v>
      </c>
      <c r="AW164" s="92">
        <f>IF(AND('NFR repository'!$H164=Params!$I$3,IFERROR(FIND(AW$1,'NFR repository'!$U164)&gt;0,FALSE)),'NFR repository'!$I164,0)</f>
        <v>0</v>
      </c>
      <c r="AX164" s="231">
        <f>IF(AND('NFR repository'!$H164=Params!$I$3,Synthesis!$I$8&lt;&gt;Params!$B$17,IFERROR(FIND(AX$1,'NFR repository'!$U164)&gt;0,FALSE)),'NFR repository'!$I164,0)</f>
        <v>0</v>
      </c>
      <c r="AY164" s="231">
        <f>IF(AND('NFR repository'!$H164=Params!$I$3,IFERROR(FIND(AY$1,'NFR repository'!$U164)&gt;0,FALSE)),'NFR repository'!$I164,0)</f>
        <v>0</v>
      </c>
      <c r="AZ164" s="231">
        <f>IF(AND('NFR repository'!$H164=Params!$I$3,IFERROR(FIND(AZ$1,'NFR repository'!$U164)&gt;0,FALSE)),'NFR repository'!$I164,0)</f>
        <v>0</v>
      </c>
      <c r="BA164" s="231">
        <f>IF(AND('NFR repository'!$H164=Params!$I$3,IFERROR(FIND(BA$1,'NFR repository'!$U164)&gt;0,FALSE)),'NFR repository'!$I164,0)</f>
        <v>0</v>
      </c>
      <c r="BB164" s="231">
        <f>IF(AND('NFR repository'!$H164=Params!$I$3,IFERROR(FIND(BB$1,'NFR repository'!$U164)&gt;0,FALSE)),'NFR repository'!$I164,0)</f>
        <v>0</v>
      </c>
      <c r="BC164" s="231">
        <f>IF(AND('NFR repository'!$H164=Params!$I$3,IFERROR(FIND(BC$1,'NFR repository'!$U164)&gt;0,FALSE)),'NFR repository'!$I164,0)</f>
        <v>0</v>
      </c>
      <c r="BD164" s="231">
        <f>IF(AND('NFR repository'!$H164=Params!$I$3,IFERROR(FIND(BD$1,'NFR repository'!$U164)&gt;0,FALSE)),'NFR repository'!$I164,0)</f>
        <v>0</v>
      </c>
      <c r="BE164" s="93">
        <f>IF(AND('NFR repository'!$H164=Params!$I$3,IFERROR(FIND(BE$1,'NFR repository'!$U164)&gt;0,FALSE)),'NFR repository'!$I164,0)</f>
        <v>0</v>
      </c>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row>
    <row r="165" spans="1:84" ht="45" x14ac:dyDescent="0.25">
      <c r="A165" s="1"/>
      <c r="B165" s="210" t="s">
        <v>730</v>
      </c>
      <c r="C165" s="204" t="s">
        <v>731</v>
      </c>
      <c r="D165" s="202" t="s">
        <v>791</v>
      </c>
      <c r="E165" s="226"/>
      <c r="F165" s="38" t="s">
        <v>584</v>
      </c>
      <c r="G165" s="78" t="s">
        <v>733</v>
      </c>
      <c r="H165" s="35" t="s">
        <v>472</v>
      </c>
      <c r="I165" s="72" t="s">
        <v>41</v>
      </c>
      <c r="J165" s="228"/>
      <c r="K165" s="228"/>
      <c r="L165" s="201"/>
      <c r="M165" s="80" t="s">
        <v>130</v>
      </c>
      <c r="N165" s="80" t="s">
        <v>170</v>
      </c>
      <c r="O165" s="78" t="s">
        <v>575</v>
      </c>
      <c r="P165" s="78" t="s">
        <v>577</v>
      </c>
      <c r="Q165" s="80" t="s">
        <v>280</v>
      </c>
      <c r="R165" s="80" t="s">
        <v>732</v>
      </c>
      <c r="S165" s="38" t="s">
        <v>734</v>
      </c>
      <c r="T165" s="38" t="s">
        <v>46</v>
      </c>
      <c r="U165" s="38" t="s">
        <v>145</v>
      </c>
      <c r="V165" s="38" t="s">
        <v>145</v>
      </c>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2"/>
      <c r="AS165" s="92" t="e">
        <f ca="1">IF(AND('NFR repository'!H165=Params!$I$3,INDIRECT("'NFR repository'!L" &amp; ROW('NFR repository'!A165) &amp; "C" &amp; TEXT(24 + $AS$2,"0"),FALSE)&lt;&gt;""),'NFR repository'!I165,0)</f>
        <v>#REF!</v>
      </c>
      <c r="AT165" s="223" t="e">
        <f ca="1">IF(AND('NFR repository'!H165=Params!$I$3,INDIRECT("'NFR repository'!L" &amp; ROW('NFR repository'!R165) &amp; "C" &amp; TEXT(28 + $AT$2,"0"),FALSE)&lt;&gt;""),'NFR repository'!I165,0)</f>
        <v>#REF!</v>
      </c>
      <c r="AU165" s="223" t="e">
        <f ca="1">IF(AND('NFR repository'!H165=Params!$I$3,INDIRECT("'NFR repository'!L" &amp; ROW('NFR repository'!R165) &amp; "C" &amp; TEXT(32 + $AU$2,"0"),FALSE)&lt;&gt;""),'NFR repository'!I165,0)</f>
        <v>#REF!</v>
      </c>
      <c r="AV165" s="233" t="e">
        <f ca="1">IF(AND('NFR repository'!H165=Params!$I$3,INDIRECT("'NFR repository'!L" &amp; ROW('NFR repository'!R165) &amp; "C" &amp; TEXT(36 + $AV$2,"0"),FALSE)&lt;&gt;""),'NFR repository'!I165,0)</f>
        <v>#REF!</v>
      </c>
      <c r="AW165" s="92">
        <f>IF(AND('NFR repository'!$H165=Params!$I$3,IFERROR(FIND(AW$1,'NFR repository'!$U165)&gt;0,FALSE)),'NFR repository'!$I165,0)</f>
        <v>0</v>
      </c>
      <c r="AX165" s="231">
        <f>IF(AND('NFR repository'!$H165=Params!$I$3,Synthesis!$I$8&lt;&gt;Params!$B$17,IFERROR(FIND(AX$1,'NFR repository'!$U165)&gt;0,FALSE)),'NFR repository'!$I165,0)</f>
        <v>0</v>
      </c>
      <c r="AY165" s="231">
        <f>IF(AND('NFR repository'!$H165=Params!$I$3,IFERROR(FIND(AY$1,'NFR repository'!$U165)&gt;0,FALSE)),'NFR repository'!$I165,0)</f>
        <v>0</v>
      </c>
      <c r="AZ165" s="231">
        <f>IF(AND('NFR repository'!$H165=Params!$I$3,IFERROR(FIND(AZ$1,'NFR repository'!$U165)&gt;0,FALSE)),'NFR repository'!$I165,0)</f>
        <v>0</v>
      </c>
      <c r="BA165" s="231">
        <f>IF(AND('NFR repository'!$H165=Params!$I$3,IFERROR(FIND(BA$1,'NFR repository'!$U165)&gt;0,FALSE)),'NFR repository'!$I165,0)</f>
        <v>0</v>
      </c>
      <c r="BB165" s="231">
        <f>IF(AND('NFR repository'!$H165=Params!$I$3,IFERROR(FIND(BB$1,'NFR repository'!$U165)&gt;0,FALSE)),'NFR repository'!$I165,0)</f>
        <v>0</v>
      </c>
      <c r="BC165" s="231">
        <f>IF(AND('NFR repository'!$H165=Params!$I$3,IFERROR(FIND(BC$1,'NFR repository'!$U165)&gt;0,FALSE)),'NFR repository'!$I165,0)</f>
        <v>0</v>
      </c>
      <c r="BD165" s="231">
        <f>IF(AND('NFR repository'!$H165=Params!$I$3,IFERROR(FIND(BD$1,'NFR repository'!$U165)&gt;0,FALSE)),'NFR repository'!$I165,0)</f>
        <v>0</v>
      </c>
      <c r="BE165" s="93">
        <f>IF(AND('NFR repository'!$H165=Params!$I$3,IFERROR(FIND(BE$1,'NFR repository'!$U165)&gt;0,FALSE)),'NFR repository'!$I165,0)</f>
        <v>0</v>
      </c>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row>
    <row r="166" spans="1:84" ht="45" x14ac:dyDescent="0.25">
      <c r="A166" s="1"/>
      <c r="B166" s="210" t="s">
        <v>797</v>
      </c>
      <c r="C166" s="204" t="s">
        <v>798</v>
      </c>
      <c r="D166" s="202" t="s">
        <v>791</v>
      </c>
      <c r="E166" s="226"/>
      <c r="F166" s="38" t="s">
        <v>810</v>
      </c>
      <c r="G166" s="78" t="s">
        <v>808</v>
      </c>
      <c r="H166" s="38" t="s">
        <v>472</v>
      </c>
      <c r="I166" s="72" t="s">
        <v>41</v>
      </c>
      <c r="J166" s="228"/>
      <c r="K166" s="228"/>
      <c r="L166" s="201"/>
      <c r="M166" s="80" t="s">
        <v>558</v>
      </c>
      <c r="N166" s="80" t="s">
        <v>809</v>
      </c>
      <c r="O166" s="78" t="s">
        <v>575</v>
      </c>
      <c r="P166" s="78" t="s">
        <v>577</v>
      </c>
      <c r="Q166" s="80" t="s">
        <v>156</v>
      </c>
      <c r="R166" s="80" t="s">
        <v>811</v>
      </c>
      <c r="S166" s="38" t="s">
        <v>812</v>
      </c>
      <c r="T166" s="38" t="s">
        <v>813</v>
      </c>
      <c r="U166" s="38" t="s">
        <v>144</v>
      </c>
      <c r="V166" s="38" t="s">
        <v>144</v>
      </c>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2"/>
      <c r="AS166" s="92" t="e">
        <f ca="1">IF(AND('NFR repository'!H166=Params!$I$3,INDIRECT("'NFR repository'!L" &amp; ROW('NFR repository'!A166) &amp; "C" &amp; TEXT(24 + $AS$2,"0"),FALSE)&lt;&gt;""),'NFR repository'!I166,0)</f>
        <v>#REF!</v>
      </c>
      <c r="AT166" s="230" t="e">
        <f ca="1">IF(AND('NFR repository'!H166=Params!$I$3,INDIRECT("'NFR repository'!L" &amp; ROW('NFR repository'!R166) &amp; "C" &amp; TEXT(28 + $AT$2,"0"),FALSE)&lt;&gt;""),'NFR repository'!I166,0)</f>
        <v>#REF!</v>
      </c>
      <c r="AU166" s="230" t="e">
        <f ca="1">IF(AND('NFR repository'!H166=Params!$I$3,INDIRECT("'NFR repository'!L" &amp; ROW('NFR repository'!R166) &amp; "C" &amp; TEXT(32 + $AU$2,"0"),FALSE)&lt;&gt;""),'NFR repository'!I166,0)</f>
        <v>#REF!</v>
      </c>
      <c r="AV166" s="233" t="e">
        <f ca="1">IF(AND('NFR repository'!H166=Params!$I$3,INDIRECT("'NFR repository'!L" &amp; ROW('NFR repository'!R166) &amp; "C" &amp; TEXT(36 + $AV$2,"0"),FALSE)&lt;&gt;""),'NFR repository'!I166,0)</f>
        <v>#REF!</v>
      </c>
      <c r="AW166" s="92">
        <f>IF(AND('NFR repository'!$H166=Params!$I$3,IFERROR(FIND(AW$1,'NFR repository'!$U166)&gt;0,FALSE)),'NFR repository'!$I166,0)</f>
        <v>0</v>
      </c>
      <c r="AX166" s="231">
        <f>IF(AND('NFR repository'!$H166=Params!$I$3,Synthesis!$I$8&lt;&gt;Params!$B$17,IFERROR(FIND(AX$1,'NFR repository'!$U166)&gt;0,FALSE)),'NFR repository'!$I166,0)</f>
        <v>0</v>
      </c>
      <c r="AY166" s="231">
        <f>IF(AND('NFR repository'!$H166=Params!$I$3,IFERROR(FIND(AY$1,'NFR repository'!$U166)&gt;0,FALSE)),'NFR repository'!$I166,0)</f>
        <v>0</v>
      </c>
      <c r="AZ166" s="231">
        <f>IF(AND('NFR repository'!$H166=Params!$I$3,IFERROR(FIND(AZ$1,'NFR repository'!$U166)&gt;0,FALSE)),'NFR repository'!$I166,0)</f>
        <v>0</v>
      </c>
      <c r="BA166" s="231">
        <f>IF(AND('NFR repository'!$H166=Params!$I$3,IFERROR(FIND(BA$1,'NFR repository'!$U166)&gt;0,FALSE)),'NFR repository'!$I166,0)</f>
        <v>0</v>
      </c>
      <c r="BB166" s="231">
        <f>IF(AND('NFR repository'!$H166=Params!$I$3,IFERROR(FIND(BB$1,'NFR repository'!$U166)&gt;0,FALSE)),'NFR repository'!$I166,0)</f>
        <v>0</v>
      </c>
      <c r="BC166" s="231">
        <f>IF(AND('NFR repository'!$H166=Params!$I$3,IFERROR(FIND(BC$1,'NFR repository'!$U166)&gt;0,FALSE)),'NFR repository'!$I166,0)</f>
        <v>0</v>
      </c>
      <c r="BD166" s="231">
        <f>IF(AND('NFR repository'!$H166=Params!$I$3,IFERROR(FIND(BD$1,'NFR repository'!$U166)&gt;0,FALSE)),'NFR repository'!$I166,0)</f>
        <v>0</v>
      </c>
      <c r="BE166" s="93">
        <f>IF(AND('NFR repository'!$H166=Params!$I$3,IFERROR(FIND(BE$1,'NFR repository'!$U166)&gt;0,FALSE)),'NFR repository'!$I166,0)</f>
        <v>0</v>
      </c>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row>
    <row r="167" spans="1:84" ht="15.75" x14ac:dyDescent="0.25">
      <c r="A167" s="1"/>
      <c r="B167" s="52" t="s">
        <v>91</v>
      </c>
      <c r="C167" s="39" t="s">
        <v>96</v>
      </c>
      <c r="D167" s="88"/>
      <c r="E167" s="88"/>
      <c r="F167" s="41"/>
      <c r="G167" s="77"/>
      <c r="H167" s="41"/>
      <c r="I167" s="50"/>
      <c r="J167" s="218"/>
      <c r="K167" s="218"/>
      <c r="L167" s="205"/>
      <c r="M167" s="77"/>
      <c r="N167" s="77"/>
      <c r="O167" s="77"/>
      <c r="P167" s="77"/>
      <c r="Q167" s="77"/>
      <c r="R167" s="77"/>
      <c r="S167" s="41"/>
      <c r="T167" s="41"/>
      <c r="U167" s="41"/>
      <c r="V167" s="41"/>
      <c r="W167" s="4"/>
      <c r="X167" s="4"/>
      <c r="Y167" s="4"/>
      <c r="Z167" s="4"/>
      <c r="AA167" s="4"/>
      <c r="AB167" s="4"/>
      <c r="AC167" s="4"/>
      <c r="AD167" s="4"/>
      <c r="AE167" s="4"/>
      <c r="AF167" s="4"/>
      <c r="AG167" s="4"/>
      <c r="AH167" s="4"/>
      <c r="AI167" s="4"/>
      <c r="AJ167" s="4"/>
      <c r="AK167" s="4"/>
      <c r="AL167" s="4"/>
      <c r="AM167" s="4"/>
      <c r="AN167" s="4"/>
      <c r="AO167" s="4"/>
      <c r="AP167" s="4"/>
      <c r="AQ167" s="4"/>
      <c r="AR167" s="2"/>
      <c r="AS167" s="92" t="e">
        <f ca="1">IF(AND('NFR repository'!H167=Params!$I$3,INDIRECT("'NFR repository'!L" &amp; ROW('NFR repository'!A167) &amp; "C" &amp; TEXT(24 + $AS$2,"0"),FALSE)&lt;&gt;""),'NFR repository'!I167,0)</f>
        <v>#REF!</v>
      </c>
      <c r="AT167" s="168" t="e">
        <f ca="1">IF(AND('NFR repository'!H167=Params!$I$3,INDIRECT("'NFR repository'!L" &amp; ROW('NFR repository'!R167) &amp; "C" &amp; TEXT(28 + $AT$2,"0"),FALSE)&lt;&gt;""),'NFR repository'!I167,0)</f>
        <v>#REF!</v>
      </c>
      <c r="AU167" s="168" t="e">
        <f ca="1">IF(AND('NFR repository'!H167=Params!$I$3,INDIRECT("'NFR repository'!L" &amp; ROW('NFR repository'!R167) &amp; "C" &amp; TEXT(32 + $AU$2,"0"),FALSE)&lt;&gt;""),'NFR repository'!I167,0)</f>
        <v>#REF!</v>
      </c>
      <c r="AV167" s="233" t="e">
        <f ca="1">IF(AND('NFR repository'!H167=Params!$I$3,INDIRECT("'NFR repository'!L" &amp; ROW('NFR repository'!R167) &amp; "C" &amp; TEXT(36 + $AV$2,"0"),FALSE)&lt;&gt;""),'NFR repository'!I167,0)</f>
        <v>#REF!</v>
      </c>
      <c r="AW167" s="92">
        <f>IF(AND('NFR repository'!$H167=Params!$I$3,IFERROR(FIND(AW$1,'NFR repository'!$U167)&gt;0,FALSE)),'NFR repository'!$I167,0)</f>
        <v>0</v>
      </c>
      <c r="AX167" s="231">
        <f>IF(AND('NFR repository'!$H167=Params!$I$3,Synthesis!$I$8&lt;&gt;Params!$B$17,IFERROR(FIND(AX$1,'NFR repository'!$U167)&gt;0,FALSE)),'NFR repository'!$I167,0)</f>
        <v>0</v>
      </c>
      <c r="AY167" s="231">
        <f>IF(AND('NFR repository'!$H167=Params!$I$3,IFERROR(FIND(AY$1,'NFR repository'!$U167)&gt;0,FALSE)),'NFR repository'!$I167,0)</f>
        <v>0</v>
      </c>
      <c r="AZ167" s="231">
        <f>IF(AND('NFR repository'!$H167=Params!$I$3,IFERROR(FIND(AZ$1,'NFR repository'!$U167)&gt;0,FALSE)),'NFR repository'!$I167,0)</f>
        <v>0</v>
      </c>
      <c r="BA167" s="231">
        <f>IF(AND('NFR repository'!$H167=Params!$I$3,IFERROR(FIND(BA$1,'NFR repository'!$U167)&gt;0,FALSE)),'NFR repository'!$I167,0)</f>
        <v>0</v>
      </c>
      <c r="BB167" s="231">
        <f>IF(AND('NFR repository'!$H167=Params!$I$3,IFERROR(FIND(BB$1,'NFR repository'!$U167)&gt;0,FALSE)),'NFR repository'!$I167,0)</f>
        <v>0</v>
      </c>
      <c r="BC167" s="231">
        <f>IF(AND('NFR repository'!$H167=Params!$I$3,IFERROR(FIND(BC$1,'NFR repository'!$U167)&gt;0,FALSE)),'NFR repository'!$I167,0)</f>
        <v>0</v>
      </c>
      <c r="BD167" s="231">
        <f>IF(AND('NFR repository'!$H167=Params!$I$3,IFERROR(FIND(BD$1,'NFR repository'!$U167)&gt;0,FALSE)),'NFR repository'!$I167,0)</f>
        <v>0</v>
      </c>
      <c r="BE167" s="93">
        <f>IF(AND('NFR repository'!$H167=Params!$I$3,IFERROR(FIND(BE$1,'NFR repository'!$U167)&gt;0,FALSE)),'NFR repository'!$I167,0)</f>
        <v>0</v>
      </c>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row>
    <row r="168" spans="1:84" ht="45" x14ac:dyDescent="0.25">
      <c r="A168" s="1"/>
      <c r="B168" s="193" t="s">
        <v>258</v>
      </c>
      <c r="C168" s="194" t="s">
        <v>436</v>
      </c>
      <c r="D168" s="83" t="s">
        <v>790</v>
      </c>
      <c r="E168" s="84"/>
      <c r="F168" s="35" t="s">
        <v>584</v>
      </c>
      <c r="G168" s="51" t="s">
        <v>750</v>
      </c>
      <c r="H168" s="35" t="s">
        <v>472</v>
      </c>
      <c r="I168" s="72" t="s">
        <v>41</v>
      </c>
      <c r="J168" s="215"/>
      <c r="K168" s="215"/>
      <c r="L168" s="195"/>
      <c r="M168" s="79" t="s">
        <v>130</v>
      </c>
      <c r="N168" s="79" t="s">
        <v>136</v>
      </c>
      <c r="O168" s="51" t="s">
        <v>575</v>
      </c>
      <c r="P168" s="51" t="s">
        <v>577</v>
      </c>
      <c r="Q168" s="51" t="s">
        <v>46</v>
      </c>
      <c r="R168" s="51" t="s">
        <v>46</v>
      </c>
      <c r="S168" s="35" t="s">
        <v>46</v>
      </c>
      <c r="T168" s="35" t="s">
        <v>46</v>
      </c>
      <c r="U168" s="35" t="s">
        <v>591</v>
      </c>
      <c r="V168" s="35" t="s">
        <v>591</v>
      </c>
      <c r="W168" s="3"/>
      <c r="X168" s="3"/>
      <c r="Y168" s="3"/>
      <c r="Z168" s="3"/>
      <c r="AA168" s="3"/>
      <c r="AB168" s="3"/>
      <c r="AC168" s="3"/>
      <c r="AD168" s="3"/>
      <c r="AE168" s="3"/>
      <c r="AF168" s="3"/>
      <c r="AG168" s="3"/>
      <c r="AH168" s="3"/>
      <c r="AI168" s="3"/>
      <c r="AJ168" s="3"/>
      <c r="AK168" s="3"/>
      <c r="AL168" s="3"/>
      <c r="AM168" s="3"/>
      <c r="AN168" s="3"/>
      <c r="AO168" s="3"/>
      <c r="AP168" s="3"/>
      <c r="AQ168" s="3"/>
      <c r="AR168" s="2"/>
      <c r="AS168" s="92" t="e">
        <f ca="1">IF(AND('NFR repository'!H168=Params!$I$3,INDIRECT("'NFR repository'!L" &amp; ROW('NFR repository'!A168) &amp; "C" &amp; TEXT(24 + $AS$2,"0"),FALSE)&lt;&gt;""),'NFR repository'!I168,0)</f>
        <v>#REF!</v>
      </c>
      <c r="AT168" s="168" t="e">
        <f ca="1">IF(AND('NFR repository'!H168=Params!$I$3,INDIRECT("'NFR repository'!L" &amp; ROW('NFR repository'!R168) &amp; "C" &amp; TEXT(28 + $AT$2,"0"),FALSE)&lt;&gt;""),'NFR repository'!I168,0)</f>
        <v>#REF!</v>
      </c>
      <c r="AU168" s="168" t="e">
        <f ca="1">IF(AND('NFR repository'!H168=Params!$I$3,INDIRECT("'NFR repository'!L" &amp; ROW('NFR repository'!R168) &amp; "C" &amp; TEXT(32 + $AU$2,"0"),FALSE)&lt;&gt;""),'NFR repository'!I168,0)</f>
        <v>#REF!</v>
      </c>
      <c r="AV168" s="233" t="e">
        <f ca="1">IF(AND('NFR repository'!H168=Params!$I$3,INDIRECT("'NFR repository'!L" &amp; ROW('NFR repository'!R168) &amp; "C" &amp; TEXT(36 + $AV$2,"0"),FALSE)&lt;&gt;""),'NFR repository'!I168,0)</f>
        <v>#REF!</v>
      </c>
      <c r="AW168" s="92">
        <f>IF(AND('NFR repository'!$H168=Params!$I$3,IFERROR(FIND(AW$1,'NFR repository'!$U168)&gt;0,FALSE)),'NFR repository'!$I168,0)</f>
        <v>0</v>
      </c>
      <c r="AX168" s="231">
        <f>IF(AND('NFR repository'!$H168=Params!$I$3,Synthesis!$I$8&lt;&gt;Params!$B$17,IFERROR(FIND(AX$1,'NFR repository'!$U168)&gt;0,FALSE)),'NFR repository'!$I168,0)</f>
        <v>0</v>
      </c>
      <c r="AY168" s="231">
        <f>IF(AND('NFR repository'!$H168=Params!$I$3,IFERROR(FIND(AY$1,'NFR repository'!$U168)&gt;0,FALSE)),'NFR repository'!$I168,0)</f>
        <v>0</v>
      </c>
      <c r="AZ168" s="231">
        <f>IF(AND('NFR repository'!$H168=Params!$I$3,IFERROR(FIND(AZ$1,'NFR repository'!$U168)&gt;0,FALSE)),'NFR repository'!$I168,0)</f>
        <v>0</v>
      </c>
      <c r="BA168" s="231">
        <f>IF(AND('NFR repository'!$H168=Params!$I$3,IFERROR(FIND(BA$1,'NFR repository'!$U168)&gt;0,FALSE)),'NFR repository'!$I168,0)</f>
        <v>0</v>
      </c>
      <c r="BB168" s="231">
        <f>IF(AND('NFR repository'!$H168=Params!$I$3,IFERROR(FIND(BB$1,'NFR repository'!$U168)&gt;0,FALSE)),'NFR repository'!$I168,0)</f>
        <v>0</v>
      </c>
      <c r="BC168" s="231">
        <f>IF(AND('NFR repository'!$H168=Params!$I$3,IFERROR(FIND(BC$1,'NFR repository'!$U168)&gt;0,FALSE)),'NFR repository'!$I168,0)</f>
        <v>0</v>
      </c>
      <c r="BD168" s="231">
        <f>IF(AND('NFR repository'!$H168=Params!$I$3,IFERROR(FIND(BD$1,'NFR repository'!$U168)&gt;0,FALSE)),'NFR repository'!$I168,0)</f>
        <v>0</v>
      </c>
      <c r="BE168" s="93">
        <f>IF(AND('NFR repository'!$H168=Params!$I$3,IFERROR(FIND(BE$1,'NFR repository'!$U168)&gt;0,FALSE)),'NFR repository'!$I168,0)</f>
        <v>0</v>
      </c>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row>
    <row r="169" spans="1:84" ht="15.75" x14ac:dyDescent="0.25">
      <c r="A169" s="1"/>
      <c r="B169" s="52" t="s">
        <v>92</v>
      </c>
      <c r="C169" s="39" t="s">
        <v>97</v>
      </c>
      <c r="D169" s="88"/>
      <c r="E169" s="88"/>
      <c r="F169" s="41"/>
      <c r="G169" s="77"/>
      <c r="H169" s="41"/>
      <c r="I169" s="50"/>
      <c r="J169" s="218"/>
      <c r="K169" s="218"/>
      <c r="L169" s="205"/>
      <c r="M169" s="77"/>
      <c r="N169" s="77"/>
      <c r="O169" s="77"/>
      <c r="P169" s="77"/>
      <c r="Q169" s="77"/>
      <c r="R169" s="77"/>
      <c r="S169" s="41"/>
      <c r="T169" s="41"/>
      <c r="U169" s="41"/>
      <c r="V169" s="41"/>
      <c r="W169" s="4"/>
      <c r="X169" s="4"/>
      <c r="Y169" s="4"/>
      <c r="Z169" s="4"/>
      <c r="AA169" s="4"/>
      <c r="AB169" s="4"/>
      <c r="AC169" s="4"/>
      <c r="AD169" s="4"/>
      <c r="AE169" s="4"/>
      <c r="AF169" s="4"/>
      <c r="AG169" s="4"/>
      <c r="AH169" s="4"/>
      <c r="AI169" s="4"/>
      <c r="AJ169" s="4"/>
      <c r="AK169" s="4"/>
      <c r="AL169" s="4"/>
      <c r="AM169" s="4"/>
      <c r="AN169" s="4"/>
      <c r="AO169" s="4"/>
      <c r="AP169" s="4"/>
      <c r="AQ169" s="4"/>
      <c r="AR169" s="2"/>
      <c r="AS169" s="92" t="e">
        <f ca="1">IF(AND('NFR repository'!H169=Params!$I$3,INDIRECT("'NFR repository'!L" &amp; ROW('NFR repository'!A169) &amp; "C" &amp; TEXT(24 + $AS$2,"0"),FALSE)&lt;&gt;""),'NFR repository'!I169,0)</f>
        <v>#REF!</v>
      </c>
      <c r="AT169" s="168" t="e">
        <f ca="1">IF(AND('NFR repository'!H169=Params!$I$3,INDIRECT("'NFR repository'!L" &amp; ROW('NFR repository'!R169) &amp; "C" &amp; TEXT(28 + $AT$2,"0"),FALSE)&lt;&gt;""),'NFR repository'!I169,0)</f>
        <v>#REF!</v>
      </c>
      <c r="AU169" s="168" t="e">
        <f ca="1">IF(AND('NFR repository'!H169=Params!$I$3,INDIRECT("'NFR repository'!L" &amp; ROW('NFR repository'!R169) &amp; "C" &amp; TEXT(32 + $AU$2,"0"),FALSE)&lt;&gt;""),'NFR repository'!I169,0)</f>
        <v>#REF!</v>
      </c>
      <c r="AV169" s="233" t="e">
        <f ca="1">IF(AND('NFR repository'!H169=Params!$I$3,INDIRECT("'NFR repository'!L" &amp; ROW('NFR repository'!R169) &amp; "C" &amp; TEXT(36 + $AV$2,"0"),FALSE)&lt;&gt;""),'NFR repository'!I169,0)</f>
        <v>#REF!</v>
      </c>
      <c r="AW169" s="92">
        <f>IF(AND('NFR repository'!$H169=Params!$I$3,IFERROR(FIND(AW$1,'NFR repository'!$U169)&gt;0,FALSE)),'NFR repository'!$I169,0)</f>
        <v>0</v>
      </c>
      <c r="AX169" s="231">
        <f>IF(AND('NFR repository'!$H169=Params!$I$3,Synthesis!$I$8&lt;&gt;Params!$B$17,IFERROR(FIND(AX$1,'NFR repository'!$U169)&gt;0,FALSE)),'NFR repository'!$I169,0)</f>
        <v>0</v>
      </c>
      <c r="AY169" s="231">
        <f>IF(AND('NFR repository'!$H169=Params!$I$3,IFERROR(FIND(AY$1,'NFR repository'!$U169)&gt;0,FALSE)),'NFR repository'!$I169,0)</f>
        <v>0</v>
      </c>
      <c r="AZ169" s="231">
        <f>IF(AND('NFR repository'!$H169=Params!$I$3,IFERROR(FIND(AZ$1,'NFR repository'!$U169)&gt;0,FALSE)),'NFR repository'!$I169,0)</f>
        <v>0</v>
      </c>
      <c r="BA169" s="231">
        <f>IF(AND('NFR repository'!$H169=Params!$I$3,IFERROR(FIND(BA$1,'NFR repository'!$U169)&gt;0,FALSE)),'NFR repository'!$I169,0)</f>
        <v>0</v>
      </c>
      <c r="BB169" s="231">
        <f>IF(AND('NFR repository'!$H169=Params!$I$3,IFERROR(FIND(BB$1,'NFR repository'!$U169)&gt;0,FALSE)),'NFR repository'!$I169,0)</f>
        <v>0</v>
      </c>
      <c r="BC169" s="231">
        <f>IF(AND('NFR repository'!$H169=Params!$I$3,IFERROR(FIND(BC$1,'NFR repository'!$U169)&gt;0,FALSE)),'NFR repository'!$I169,0)</f>
        <v>0</v>
      </c>
      <c r="BD169" s="231">
        <f>IF(AND('NFR repository'!$H169=Params!$I$3,IFERROR(FIND(BD$1,'NFR repository'!$U169)&gt;0,FALSE)),'NFR repository'!$I169,0)</f>
        <v>0</v>
      </c>
      <c r="BE169" s="93">
        <f>IF(AND('NFR repository'!$H169=Params!$I$3,IFERROR(FIND(BE$1,'NFR repository'!$U169)&gt;0,FALSE)),'NFR repository'!$I169,0)</f>
        <v>0</v>
      </c>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row>
    <row r="170" spans="1:84" ht="15.75" x14ac:dyDescent="0.25">
      <c r="A170" s="1"/>
      <c r="B170" s="52" t="s">
        <v>93</v>
      </c>
      <c r="C170" s="39" t="s">
        <v>98</v>
      </c>
      <c r="D170" s="88"/>
      <c r="E170" s="88"/>
      <c r="F170" s="41"/>
      <c r="G170" s="77"/>
      <c r="H170" s="41"/>
      <c r="I170" s="50"/>
      <c r="J170" s="218"/>
      <c r="K170" s="218"/>
      <c r="L170" s="205"/>
      <c r="M170" s="77"/>
      <c r="N170" s="77"/>
      <c r="O170" s="77"/>
      <c r="P170" s="77"/>
      <c r="Q170" s="77"/>
      <c r="R170" s="77"/>
      <c r="S170" s="41"/>
      <c r="T170" s="41"/>
      <c r="U170" s="41"/>
      <c r="V170" s="41"/>
      <c r="W170" s="4"/>
      <c r="X170" s="4"/>
      <c r="Y170" s="4"/>
      <c r="Z170" s="4"/>
      <c r="AA170" s="4"/>
      <c r="AB170" s="4"/>
      <c r="AC170" s="4"/>
      <c r="AD170" s="4"/>
      <c r="AE170" s="4"/>
      <c r="AF170" s="4"/>
      <c r="AG170" s="4"/>
      <c r="AH170" s="4"/>
      <c r="AI170" s="4"/>
      <c r="AJ170" s="4"/>
      <c r="AK170" s="4"/>
      <c r="AL170" s="4"/>
      <c r="AM170" s="4"/>
      <c r="AN170" s="4"/>
      <c r="AO170" s="4"/>
      <c r="AP170" s="4"/>
      <c r="AQ170" s="4"/>
      <c r="AR170" s="2"/>
      <c r="AS170" s="92" t="e">
        <f ca="1">IF(AND('NFR repository'!H170=Params!$I$3,INDIRECT("'NFR repository'!L" &amp; ROW('NFR repository'!A170) &amp; "C" &amp; TEXT(24 + $AS$2,"0"),FALSE)&lt;&gt;""),'NFR repository'!I170,0)</f>
        <v>#REF!</v>
      </c>
      <c r="AT170" s="168" t="e">
        <f ca="1">IF(AND('NFR repository'!H170=Params!$I$3,INDIRECT("'NFR repository'!L" &amp; ROW('NFR repository'!R170) &amp; "C" &amp; TEXT(28 + $AT$2,"0"),FALSE)&lt;&gt;""),'NFR repository'!I170,0)</f>
        <v>#REF!</v>
      </c>
      <c r="AU170" s="168" t="e">
        <f ca="1">IF(AND('NFR repository'!H170=Params!$I$3,INDIRECT("'NFR repository'!L" &amp; ROW('NFR repository'!R170) &amp; "C" &amp; TEXT(32 + $AU$2,"0"),FALSE)&lt;&gt;""),'NFR repository'!I170,0)</f>
        <v>#REF!</v>
      </c>
      <c r="AV170" s="233" t="e">
        <f ca="1">IF(AND('NFR repository'!H170=Params!$I$3,INDIRECT("'NFR repository'!L" &amp; ROW('NFR repository'!R170) &amp; "C" &amp; TEXT(36 + $AV$2,"0"),FALSE)&lt;&gt;""),'NFR repository'!I170,0)</f>
        <v>#REF!</v>
      </c>
      <c r="AW170" s="92">
        <f>IF(AND('NFR repository'!$H170=Params!$I$3,IFERROR(FIND(AW$1,'NFR repository'!$U170)&gt;0,FALSE)),'NFR repository'!$I170,0)</f>
        <v>0</v>
      </c>
      <c r="AX170" s="231">
        <f>IF(AND('NFR repository'!$H170=Params!$I$3,Synthesis!$I$8&lt;&gt;Params!$B$17,IFERROR(FIND(AX$1,'NFR repository'!$U170)&gt;0,FALSE)),'NFR repository'!$I170,0)</f>
        <v>0</v>
      </c>
      <c r="AY170" s="231">
        <f>IF(AND('NFR repository'!$H170=Params!$I$3,IFERROR(FIND(AY$1,'NFR repository'!$U170)&gt;0,FALSE)),'NFR repository'!$I170,0)</f>
        <v>0</v>
      </c>
      <c r="AZ170" s="231">
        <f>IF(AND('NFR repository'!$H170=Params!$I$3,IFERROR(FIND(AZ$1,'NFR repository'!$U170)&gt;0,FALSE)),'NFR repository'!$I170,0)</f>
        <v>0</v>
      </c>
      <c r="BA170" s="231">
        <f>IF(AND('NFR repository'!$H170=Params!$I$3,IFERROR(FIND(BA$1,'NFR repository'!$U170)&gt;0,FALSE)),'NFR repository'!$I170,0)</f>
        <v>0</v>
      </c>
      <c r="BB170" s="231">
        <f>IF(AND('NFR repository'!$H170=Params!$I$3,IFERROR(FIND(BB$1,'NFR repository'!$U170)&gt;0,FALSE)),'NFR repository'!$I170,0)</f>
        <v>0</v>
      </c>
      <c r="BC170" s="231">
        <f>IF(AND('NFR repository'!$H170=Params!$I$3,IFERROR(FIND(BC$1,'NFR repository'!$U170)&gt;0,FALSE)),'NFR repository'!$I170,0)</f>
        <v>0</v>
      </c>
      <c r="BD170" s="231">
        <f>IF(AND('NFR repository'!$H170=Params!$I$3,IFERROR(FIND(BD$1,'NFR repository'!$U170)&gt;0,FALSE)),'NFR repository'!$I170,0)</f>
        <v>0</v>
      </c>
      <c r="BE170" s="93">
        <f>IF(AND('NFR repository'!$H170=Params!$I$3,IFERROR(FIND(BE$1,'NFR repository'!$U170)&gt;0,FALSE)),'NFR repository'!$I170,0)</f>
        <v>0</v>
      </c>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row>
    <row r="171" spans="1:84" ht="60" x14ac:dyDescent="0.25">
      <c r="A171" s="1"/>
      <c r="B171" s="193" t="s">
        <v>259</v>
      </c>
      <c r="C171" s="194" t="s">
        <v>437</v>
      </c>
      <c r="D171" s="83" t="s">
        <v>789</v>
      </c>
      <c r="E171" s="84"/>
      <c r="F171" s="35" t="s">
        <v>147</v>
      </c>
      <c r="G171" s="51" t="s">
        <v>742</v>
      </c>
      <c r="H171" s="35" t="s">
        <v>472</v>
      </c>
      <c r="I171" s="72" t="s">
        <v>41</v>
      </c>
      <c r="J171" s="215"/>
      <c r="K171" s="215"/>
      <c r="L171" s="195"/>
      <c r="M171" s="51" t="s">
        <v>558</v>
      </c>
      <c r="N171" s="51" t="s">
        <v>148</v>
      </c>
      <c r="O171" s="51" t="s">
        <v>574</v>
      </c>
      <c r="P171" s="51" t="s">
        <v>577</v>
      </c>
      <c r="Q171" s="51" t="s">
        <v>46</v>
      </c>
      <c r="R171" s="51" t="s">
        <v>46</v>
      </c>
      <c r="S171" s="35" t="s">
        <v>46</v>
      </c>
      <c r="T171" s="35" t="s">
        <v>46</v>
      </c>
      <c r="U171" s="35" t="s">
        <v>146</v>
      </c>
      <c r="V171" s="35" t="s">
        <v>146</v>
      </c>
      <c r="W171" s="3"/>
      <c r="X171" s="3"/>
      <c r="Y171" s="3"/>
      <c r="Z171" s="3"/>
      <c r="AA171" s="3"/>
      <c r="AB171" s="3"/>
      <c r="AC171" s="3"/>
      <c r="AD171" s="3"/>
      <c r="AE171" s="3"/>
      <c r="AF171" s="3"/>
      <c r="AG171" s="3"/>
      <c r="AH171" s="3"/>
      <c r="AI171" s="3"/>
      <c r="AJ171" s="3"/>
      <c r="AK171" s="3"/>
      <c r="AL171" s="3"/>
      <c r="AM171" s="3"/>
      <c r="AN171" s="3"/>
      <c r="AO171" s="3"/>
      <c r="AP171" s="3"/>
      <c r="AQ171" s="3"/>
      <c r="AR171" s="2"/>
      <c r="AS171" s="92" t="e">
        <f ca="1">IF(AND('NFR repository'!H171=Params!$I$3,INDIRECT("'NFR repository'!L" &amp; ROW('NFR repository'!A171) &amp; "C" &amp; TEXT(24 + $AS$2,"0"),FALSE)&lt;&gt;""),'NFR repository'!I171,0)</f>
        <v>#REF!</v>
      </c>
      <c r="AT171" s="168" t="e">
        <f ca="1">IF(AND('NFR repository'!H171=Params!$I$3,INDIRECT("'NFR repository'!L" &amp; ROW('NFR repository'!R171) &amp; "C" &amp; TEXT(28 + $AT$2,"0"),FALSE)&lt;&gt;""),'NFR repository'!I171,0)</f>
        <v>#REF!</v>
      </c>
      <c r="AU171" s="168" t="e">
        <f ca="1">IF(AND('NFR repository'!H171=Params!$I$3,INDIRECT("'NFR repository'!L" &amp; ROW('NFR repository'!R171) &amp; "C" &amp; TEXT(32 + $AU$2,"0"),FALSE)&lt;&gt;""),'NFR repository'!I171,0)</f>
        <v>#REF!</v>
      </c>
      <c r="AV171" s="233" t="e">
        <f ca="1">IF(AND('NFR repository'!H171=Params!$I$3,INDIRECT("'NFR repository'!L" &amp; ROW('NFR repository'!R171) &amp; "C" &amp; TEXT(36 + $AV$2,"0"),FALSE)&lt;&gt;""),'NFR repository'!I171,0)</f>
        <v>#REF!</v>
      </c>
      <c r="AW171" s="92">
        <f>IF(AND('NFR repository'!$H171=Params!$I$3,IFERROR(FIND(AW$1,'NFR repository'!$U171)&gt;0,FALSE)),'NFR repository'!$I171,0)</f>
        <v>0</v>
      </c>
      <c r="AX171" s="231">
        <f>IF(AND('NFR repository'!$H171=Params!$I$3,Synthesis!$I$8&lt;&gt;Params!$B$17,IFERROR(FIND(AX$1,'NFR repository'!$U171)&gt;0,FALSE)),'NFR repository'!$I171,0)</f>
        <v>0</v>
      </c>
      <c r="AY171" s="231">
        <f>IF(AND('NFR repository'!$H171=Params!$I$3,IFERROR(FIND(AY$1,'NFR repository'!$U171)&gt;0,FALSE)),'NFR repository'!$I171,0)</f>
        <v>0</v>
      </c>
      <c r="AZ171" s="231">
        <f>IF(AND('NFR repository'!$H171=Params!$I$3,IFERROR(FIND(AZ$1,'NFR repository'!$U171)&gt;0,FALSE)),'NFR repository'!$I171,0)</f>
        <v>0</v>
      </c>
      <c r="BA171" s="231">
        <f>IF(AND('NFR repository'!$H171=Params!$I$3,IFERROR(FIND(BA$1,'NFR repository'!$U171)&gt;0,FALSE)),'NFR repository'!$I171,0)</f>
        <v>0</v>
      </c>
      <c r="BB171" s="231">
        <f>IF(AND('NFR repository'!$H171=Params!$I$3,IFERROR(FIND(BB$1,'NFR repository'!$U171)&gt;0,FALSE)),'NFR repository'!$I171,0)</f>
        <v>0</v>
      </c>
      <c r="BC171" s="231">
        <f>IF(AND('NFR repository'!$H171=Params!$I$3,IFERROR(FIND(BC$1,'NFR repository'!$U171)&gt;0,FALSE)),'NFR repository'!$I171,0)</f>
        <v>0</v>
      </c>
      <c r="BD171" s="231">
        <f>IF(AND('NFR repository'!$H171=Params!$I$3,IFERROR(FIND(BD$1,'NFR repository'!$U171)&gt;0,FALSE)),'NFR repository'!$I171,0)</f>
        <v>0</v>
      </c>
      <c r="BE171" s="93">
        <f>IF(AND('NFR repository'!$H171=Params!$I$3,IFERROR(FIND(BE$1,'NFR repository'!$U171)&gt;0,FALSE)),'NFR repository'!$I171,0)</f>
        <v>0</v>
      </c>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row>
    <row r="172" spans="1:84" ht="15.75" x14ac:dyDescent="0.25">
      <c r="A172" s="1"/>
      <c r="B172" s="52" t="s">
        <v>94</v>
      </c>
      <c r="C172" s="39" t="s">
        <v>110</v>
      </c>
      <c r="D172" s="88"/>
      <c r="E172" s="88"/>
      <c r="F172" s="41"/>
      <c r="G172" s="77"/>
      <c r="H172" s="41"/>
      <c r="I172" s="50"/>
      <c r="J172" s="218"/>
      <c r="K172" s="218"/>
      <c r="L172" s="205"/>
      <c r="M172" s="77"/>
      <c r="N172" s="77"/>
      <c r="O172" s="77"/>
      <c r="P172" s="77"/>
      <c r="Q172" s="77"/>
      <c r="R172" s="77"/>
      <c r="S172" s="41"/>
      <c r="T172" s="41"/>
      <c r="U172" s="41"/>
      <c r="V172" s="41"/>
      <c r="W172" s="4"/>
      <c r="X172" s="4"/>
      <c r="Y172" s="4"/>
      <c r="Z172" s="4"/>
      <c r="AA172" s="4"/>
      <c r="AB172" s="4"/>
      <c r="AC172" s="4"/>
      <c r="AD172" s="4"/>
      <c r="AE172" s="4"/>
      <c r="AF172" s="4"/>
      <c r="AG172" s="4"/>
      <c r="AH172" s="4"/>
      <c r="AI172" s="4"/>
      <c r="AJ172" s="4"/>
      <c r="AK172" s="4"/>
      <c r="AL172" s="4"/>
      <c r="AM172" s="4"/>
      <c r="AN172" s="4"/>
      <c r="AO172" s="4"/>
      <c r="AP172" s="4"/>
      <c r="AQ172" s="4"/>
      <c r="AR172" s="2"/>
      <c r="AS172" s="92" t="e">
        <f ca="1">IF(AND('NFR repository'!H172=Params!$I$3,INDIRECT("'NFR repository'!L" &amp; ROW('NFR repository'!A172) &amp; "C" &amp; TEXT(24 + $AS$2,"0"),FALSE)&lt;&gt;""),'NFR repository'!I172,0)</f>
        <v>#REF!</v>
      </c>
      <c r="AT172" s="168" t="e">
        <f ca="1">IF(AND('NFR repository'!H172=Params!$I$3,INDIRECT("'NFR repository'!L" &amp; ROW('NFR repository'!R172) &amp; "C" &amp; TEXT(28 + $AT$2,"0"),FALSE)&lt;&gt;""),'NFR repository'!I172,0)</f>
        <v>#REF!</v>
      </c>
      <c r="AU172" s="168" t="e">
        <f ca="1">IF(AND('NFR repository'!H172=Params!$I$3,INDIRECT("'NFR repository'!L" &amp; ROW('NFR repository'!R172) &amp; "C" &amp; TEXT(32 + $AU$2,"0"),FALSE)&lt;&gt;""),'NFR repository'!I172,0)</f>
        <v>#REF!</v>
      </c>
      <c r="AV172" s="233" t="e">
        <f ca="1">IF(AND('NFR repository'!H172=Params!$I$3,INDIRECT("'NFR repository'!L" &amp; ROW('NFR repository'!R172) &amp; "C" &amp; TEXT(36 + $AV$2,"0"),FALSE)&lt;&gt;""),'NFR repository'!I172,0)</f>
        <v>#REF!</v>
      </c>
      <c r="AW172" s="92">
        <f>IF(AND('NFR repository'!$H172=Params!$I$3,IFERROR(FIND(AW$1,'NFR repository'!$U172)&gt;0,FALSE)),'NFR repository'!$I172,0)</f>
        <v>0</v>
      </c>
      <c r="AX172" s="231">
        <f>IF(AND('NFR repository'!$H172=Params!$I$3,Synthesis!$I$8&lt;&gt;Params!$B$17,IFERROR(FIND(AX$1,'NFR repository'!$U172)&gt;0,FALSE)),'NFR repository'!$I172,0)</f>
        <v>0</v>
      </c>
      <c r="AY172" s="231">
        <f>IF(AND('NFR repository'!$H172=Params!$I$3,IFERROR(FIND(AY$1,'NFR repository'!$U172)&gt;0,FALSE)),'NFR repository'!$I172,0)</f>
        <v>0</v>
      </c>
      <c r="AZ172" s="231">
        <f>IF(AND('NFR repository'!$H172=Params!$I$3,IFERROR(FIND(AZ$1,'NFR repository'!$U172)&gt;0,FALSE)),'NFR repository'!$I172,0)</f>
        <v>0</v>
      </c>
      <c r="BA172" s="231">
        <f>IF(AND('NFR repository'!$H172=Params!$I$3,IFERROR(FIND(BA$1,'NFR repository'!$U172)&gt;0,FALSE)),'NFR repository'!$I172,0)</f>
        <v>0</v>
      </c>
      <c r="BB172" s="231">
        <f>IF(AND('NFR repository'!$H172=Params!$I$3,IFERROR(FIND(BB$1,'NFR repository'!$U172)&gt;0,FALSE)),'NFR repository'!$I172,0)</f>
        <v>0</v>
      </c>
      <c r="BC172" s="231">
        <f>IF(AND('NFR repository'!$H172=Params!$I$3,IFERROR(FIND(BC$1,'NFR repository'!$U172)&gt;0,FALSE)),'NFR repository'!$I172,0)</f>
        <v>0</v>
      </c>
      <c r="BD172" s="231">
        <f>IF(AND('NFR repository'!$H172=Params!$I$3,IFERROR(FIND(BD$1,'NFR repository'!$U172)&gt;0,FALSE)),'NFR repository'!$I172,0)</f>
        <v>0</v>
      </c>
      <c r="BE172" s="93">
        <f>IF(AND('NFR repository'!$H172=Params!$I$3,IFERROR(FIND(BE$1,'NFR repository'!$U172)&gt;0,FALSE)),'NFR repository'!$I172,0)</f>
        <v>0</v>
      </c>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row>
    <row r="173" spans="1:84" ht="15.75" x14ac:dyDescent="0.25">
      <c r="A173" s="1"/>
      <c r="B173" s="52" t="s">
        <v>95</v>
      </c>
      <c r="C173" s="39" t="s">
        <v>99</v>
      </c>
      <c r="D173" s="88"/>
      <c r="E173" s="88"/>
      <c r="F173" s="41"/>
      <c r="G173" s="77"/>
      <c r="H173" s="41"/>
      <c r="I173" s="50"/>
      <c r="J173" s="218"/>
      <c r="K173" s="218"/>
      <c r="L173" s="205"/>
      <c r="M173" s="77"/>
      <c r="N173" s="77"/>
      <c r="O173" s="77"/>
      <c r="P173" s="77"/>
      <c r="Q173" s="77"/>
      <c r="R173" s="77"/>
      <c r="S173" s="41"/>
      <c r="T173" s="41"/>
      <c r="U173" s="41"/>
      <c r="V173" s="41"/>
      <c r="W173" s="4"/>
      <c r="X173" s="4"/>
      <c r="Y173" s="4"/>
      <c r="Z173" s="4"/>
      <c r="AA173" s="4"/>
      <c r="AB173" s="4"/>
      <c r="AC173" s="4"/>
      <c r="AD173" s="4"/>
      <c r="AE173" s="4"/>
      <c r="AF173" s="4"/>
      <c r="AG173" s="4"/>
      <c r="AH173" s="4"/>
      <c r="AI173" s="4"/>
      <c r="AJ173" s="4"/>
      <c r="AK173" s="4"/>
      <c r="AL173" s="4"/>
      <c r="AM173" s="4"/>
      <c r="AN173" s="4"/>
      <c r="AO173" s="4"/>
      <c r="AP173" s="4"/>
      <c r="AQ173" s="4"/>
      <c r="AR173" s="2"/>
      <c r="AS173" s="92" t="e">
        <f ca="1">IF(AND('NFR repository'!H173=Params!$I$3,INDIRECT("'NFR repository'!L" &amp; ROW('NFR repository'!A173) &amp; "C" &amp; TEXT(24 + $AS$2,"0"),FALSE)&lt;&gt;""),'NFR repository'!I173,0)</f>
        <v>#REF!</v>
      </c>
      <c r="AT173" s="168" t="e">
        <f ca="1">IF(AND('NFR repository'!H173=Params!$I$3,INDIRECT("'NFR repository'!L" &amp; ROW('NFR repository'!R173) &amp; "C" &amp; TEXT(28 + $AT$2,"0"),FALSE)&lt;&gt;""),'NFR repository'!I173,0)</f>
        <v>#REF!</v>
      </c>
      <c r="AU173" s="168" t="e">
        <f ca="1">IF(AND('NFR repository'!H173=Params!$I$3,INDIRECT("'NFR repository'!L" &amp; ROW('NFR repository'!R173) &amp; "C" &amp; TEXT(32 + $AU$2,"0"),FALSE)&lt;&gt;""),'NFR repository'!I173,0)</f>
        <v>#REF!</v>
      </c>
      <c r="AV173" s="233" t="e">
        <f ca="1">IF(AND('NFR repository'!H173=Params!$I$3,INDIRECT("'NFR repository'!L" &amp; ROW('NFR repository'!R173) &amp; "C" &amp; TEXT(36 + $AV$2,"0"),FALSE)&lt;&gt;""),'NFR repository'!I173,0)</f>
        <v>#REF!</v>
      </c>
      <c r="AW173" s="92">
        <f>IF(AND('NFR repository'!$H173=Params!$I$3,IFERROR(FIND(AW$1,'NFR repository'!$U173)&gt;0,FALSE)),'NFR repository'!$I173,0)</f>
        <v>0</v>
      </c>
      <c r="AX173" s="231">
        <f>IF(AND('NFR repository'!$H173=Params!$I$3,Synthesis!$I$8&lt;&gt;Params!$B$17,IFERROR(FIND(AX$1,'NFR repository'!$U173)&gt;0,FALSE)),'NFR repository'!$I173,0)</f>
        <v>0</v>
      </c>
      <c r="AY173" s="231">
        <f>IF(AND('NFR repository'!$H173=Params!$I$3,IFERROR(FIND(AY$1,'NFR repository'!$U173)&gt;0,FALSE)),'NFR repository'!$I173,0)</f>
        <v>0</v>
      </c>
      <c r="AZ173" s="231">
        <f>IF(AND('NFR repository'!$H173=Params!$I$3,IFERROR(FIND(AZ$1,'NFR repository'!$U173)&gt;0,FALSE)),'NFR repository'!$I173,0)</f>
        <v>0</v>
      </c>
      <c r="BA173" s="231">
        <f>IF(AND('NFR repository'!$H173=Params!$I$3,IFERROR(FIND(BA$1,'NFR repository'!$U173)&gt;0,FALSE)),'NFR repository'!$I173,0)</f>
        <v>0</v>
      </c>
      <c r="BB173" s="231">
        <f>IF(AND('NFR repository'!$H173=Params!$I$3,IFERROR(FIND(BB$1,'NFR repository'!$U173)&gt;0,FALSE)),'NFR repository'!$I173,0)</f>
        <v>0</v>
      </c>
      <c r="BC173" s="231">
        <f>IF(AND('NFR repository'!$H173=Params!$I$3,IFERROR(FIND(BC$1,'NFR repository'!$U173)&gt;0,FALSE)),'NFR repository'!$I173,0)</f>
        <v>0</v>
      </c>
      <c r="BD173" s="231">
        <f>IF(AND('NFR repository'!$H173=Params!$I$3,IFERROR(FIND(BD$1,'NFR repository'!$U173)&gt;0,FALSE)),'NFR repository'!$I173,0)</f>
        <v>0</v>
      </c>
      <c r="BE173" s="93">
        <f>IF(AND('NFR repository'!$H173=Params!$I$3,IFERROR(FIND(BE$1,'NFR repository'!$U173)&gt;0,FALSE)),'NFR repository'!$I173,0)</f>
        <v>0</v>
      </c>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row>
    <row r="174" spans="1:84" ht="18.75" x14ac:dyDescent="0.25">
      <c r="A174" s="1"/>
      <c r="B174" s="182">
        <v>8</v>
      </c>
      <c r="C174" s="183" t="s">
        <v>103</v>
      </c>
      <c r="D174" s="206"/>
      <c r="E174" s="206"/>
      <c r="F174" s="207"/>
      <c r="G174" s="197"/>
      <c r="H174" s="207"/>
      <c r="I174" s="208"/>
      <c r="J174" s="219"/>
      <c r="K174" s="219"/>
      <c r="L174" s="209"/>
      <c r="M174" s="197"/>
      <c r="N174" s="197"/>
      <c r="O174" s="197"/>
      <c r="P174" s="197"/>
      <c r="Q174" s="197"/>
      <c r="R174" s="197"/>
      <c r="S174" s="207"/>
      <c r="T174" s="207"/>
      <c r="U174" s="206"/>
      <c r="V174" s="206"/>
      <c r="W174" s="184"/>
      <c r="X174" s="185"/>
      <c r="Y174" s="185"/>
      <c r="Z174" s="185"/>
      <c r="AA174" s="185"/>
      <c r="AB174" s="185"/>
      <c r="AC174" s="185"/>
      <c r="AD174" s="185"/>
      <c r="AE174" s="185"/>
      <c r="AF174" s="185"/>
      <c r="AG174" s="185"/>
      <c r="AH174" s="185"/>
      <c r="AI174" s="185"/>
      <c r="AJ174" s="185"/>
      <c r="AK174" s="185"/>
      <c r="AL174" s="185"/>
      <c r="AM174" s="185"/>
      <c r="AN174" s="185"/>
      <c r="AO174" s="185"/>
      <c r="AP174" s="185"/>
      <c r="AQ174" s="185"/>
      <c r="AR174" s="2"/>
      <c r="AS174" s="92" t="e">
        <f ca="1">IF(AND('NFR repository'!H174=Params!$I$3,INDIRECT("'NFR repository'!L" &amp; ROW('NFR repository'!A174) &amp; "C" &amp; TEXT(24 + $AS$2,"0"),FALSE)&lt;&gt;""),'NFR repository'!I174,0)</f>
        <v>#REF!</v>
      </c>
      <c r="AT174" s="168" t="e">
        <f ca="1">IF(AND('NFR repository'!H174=Params!$I$3,INDIRECT("'NFR repository'!L" &amp; ROW('NFR repository'!R174) &amp; "C" &amp; TEXT(28 + $AT$2,"0"),FALSE)&lt;&gt;""),'NFR repository'!I174,0)</f>
        <v>#REF!</v>
      </c>
      <c r="AU174" s="168" t="e">
        <f ca="1">IF(AND('NFR repository'!H174=Params!$I$3,INDIRECT("'NFR repository'!L" &amp; ROW('NFR repository'!R174) &amp; "C" &amp; TEXT(32 + $AU$2,"0"),FALSE)&lt;&gt;""),'NFR repository'!I174,0)</f>
        <v>#REF!</v>
      </c>
      <c r="AV174" s="233" t="e">
        <f ca="1">IF(AND('NFR repository'!H174=Params!$I$3,INDIRECT("'NFR repository'!L" &amp; ROW('NFR repository'!R174) &amp; "C" &amp; TEXT(36 + $AV$2,"0"),FALSE)&lt;&gt;""),'NFR repository'!I174,0)</f>
        <v>#REF!</v>
      </c>
      <c r="AW174" s="92">
        <f>IF(AND('NFR repository'!$H174=Params!$I$3,IFERROR(FIND(AW$1,'NFR repository'!$U174)&gt;0,FALSE)),'NFR repository'!$I174,0)</f>
        <v>0</v>
      </c>
      <c r="AX174" s="231">
        <f>IF(AND('NFR repository'!$H174=Params!$I$3,Synthesis!$I$8&lt;&gt;Params!$B$17,IFERROR(FIND(AX$1,'NFR repository'!$U174)&gt;0,FALSE)),'NFR repository'!$I174,0)</f>
        <v>0</v>
      </c>
      <c r="AY174" s="231">
        <f>IF(AND('NFR repository'!$H174=Params!$I$3,IFERROR(FIND(AY$1,'NFR repository'!$U174)&gt;0,FALSE)),'NFR repository'!$I174,0)</f>
        <v>0</v>
      </c>
      <c r="AZ174" s="231">
        <f>IF(AND('NFR repository'!$H174=Params!$I$3,IFERROR(FIND(AZ$1,'NFR repository'!$U174)&gt;0,FALSE)),'NFR repository'!$I174,0)</f>
        <v>0</v>
      </c>
      <c r="BA174" s="231">
        <f>IF(AND('NFR repository'!$H174=Params!$I$3,IFERROR(FIND(BA$1,'NFR repository'!$U174)&gt;0,FALSE)),'NFR repository'!$I174,0)</f>
        <v>0</v>
      </c>
      <c r="BB174" s="231">
        <f>IF(AND('NFR repository'!$H174=Params!$I$3,IFERROR(FIND(BB$1,'NFR repository'!$U174)&gt;0,FALSE)),'NFR repository'!$I174,0)</f>
        <v>0</v>
      </c>
      <c r="BC174" s="231">
        <f>IF(AND('NFR repository'!$H174=Params!$I$3,IFERROR(FIND(BC$1,'NFR repository'!$U174)&gt;0,FALSE)),'NFR repository'!$I174,0)</f>
        <v>0</v>
      </c>
      <c r="BD174" s="231">
        <f>IF(AND('NFR repository'!$H174=Params!$I$3,IFERROR(FIND(BD$1,'NFR repository'!$U174)&gt;0,FALSE)),'NFR repository'!$I174,0)</f>
        <v>0</v>
      </c>
      <c r="BE174" s="93">
        <f>IF(AND('NFR repository'!$H174=Params!$I$3,IFERROR(FIND(BE$1,'NFR repository'!$U174)&gt;0,FALSE)),'NFR repository'!$I174,0)</f>
        <v>0</v>
      </c>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row>
    <row r="175" spans="1:84" ht="15.75" x14ac:dyDescent="0.25">
      <c r="A175" s="1"/>
      <c r="B175" s="52" t="s">
        <v>100</v>
      </c>
      <c r="C175" s="39" t="s">
        <v>104</v>
      </c>
      <c r="D175" s="88"/>
      <c r="E175" s="88"/>
      <c r="F175" s="41"/>
      <c r="G175" s="77"/>
      <c r="H175" s="41"/>
      <c r="I175" s="50"/>
      <c r="J175" s="218"/>
      <c r="K175" s="218"/>
      <c r="L175" s="205"/>
      <c r="M175" s="77"/>
      <c r="N175" s="77"/>
      <c r="O175" s="77"/>
      <c r="P175" s="77"/>
      <c r="Q175" s="77"/>
      <c r="R175" s="77"/>
      <c r="S175" s="41"/>
      <c r="T175" s="41"/>
      <c r="U175" s="41"/>
      <c r="V175" s="41"/>
      <c r="W175" s="4"/>
      <c r="X175" s="4"/>
      <c r="Y175" s="4"/>
      <c r="Z175" s="4"/>
      <c r="AA175" s="4"/>
      <c r="AB175" s="4"/>
      <c r="AC175" s="4"/>
      <c r="AD175" s="4"/>
      <c r="AE175" s="4"/>
      <c r="AF175" s="4"/>
      <c r="AG175" s="4"/>
      <c r="AH175" s="4"/>
      <c r="AI175" s="4"/>
      <c r="AJ175" s="4"/>
      <c r="AK175" s="4"/>
      <c r="AL175" s="4"/>
      <c r="AM175" s="4"/>
      <c r="AN175" s="4"/>
      <c r="AO175" s="4"/>
      <c r="AP175" s="4"/>
      <c r="AQ175" s="4"/>
      <c r="AR175" s="2"/>
      <c r="AS175" s="92" t="e">
        <f ca="1">IF(AND('NFR repository'!H175=Params!$I$3,INDIRECT("'NFR repository'!L" &amp; ROW('NFR repository'!A175) &amp; "C" &amp; TEXT(24 + $AS$2,"0"),FALSE)&lt;&gt;""),'NFR repository'!I175,0)</f>
        <v>#REF!</v>
      </c>
      <c r="AT175" s="168" t="e">
        <f ca="1">IF(AND('NFR repository'!H175=Params!$I$3,INDIRECT("'NFR repository'!L" &amp; ROW('NFR repository'!R175) &amp; "C" &amp; TEXT(28 + $AT$2,"0"),FALSE)&lt;&gt;""),'NFR repository'!I175,0)</f>
        <v>#REF!</v>
      </c>
      <c r="AU175" s="168" t="e">
        <f ca="1">IF(AND('NFR repository'!H175=Params!$I$3,INDIRECT("'NFR repository'!L" &amp; ROW('NFR repository'!R175) &amp; "C" &amp; TEXT(32 + $AU$2,"0"),FALSE)&lt;&gt;""),'NFR repository'!I175,0)</f>
        <v>#REF!</v>
      </c>
      <c r="AV175" s="233" t="e">
        <f ca="1">IF(AND('NFR repository'!H175=Params!$I$3,INDIRECT("'NFR repository'!L" &amp; ROW('NFR repository'!R175) &amp; "C" &amp; TEXT(36 + $AV$2,"0"),FALSE)&lt;&gt;""),'NFR repository'!I175,0)</f>
        <v>#REF!</v>
      </c>
      <c r="AW175" s="92">
        <f>IF(AND('NFR repository'!$H175=Params!$I$3,IFERROR(FIND(AW$1,'NFR repository'!$U175)&gt;0,FALSE)),'NFR repository'!$I175,0)</f>
        <v>0</v>
      </c>
      <c r="AX175" s="231">
        <f>IF(AND('NFR repository'!$H175=Params!$I$3,Synthesis!$I$8&lt;&gt;Params!$B$17,IFERROR(FIND(AX$1,'NFR repository'!$U175)&gt;0,FALSE)),'NFR repository'!$I175,0)</f>
        <v>0</v>
      </c>
      <c r="AY175" s="231">
        <f>IF(AND('NFR repository'!$H175=Params!$I$3,IFERROR(FIND(AY$1,'NFR repository'!$U175)&gt;0,FALSE)),'NFR repository'!$I175,0)</f>
        <v>0</v>
      </c>
      <c r="AZ175" s="231">
        <f>IF(AND('NFR repository'!$H175=Params!$I$3,IFERROR(FIND(AZ$1,'NFR repository'!$U175)&gt;0,FALSE)),'NFR repository'!$I175,0)</f>
        <v>0</v>
      </c>
      <c r="BA175" s="231">
        <f>IF(AND('NFR repository'!$H175=Params!$I$3,IFERROR(FIND(BA$1,'NFR repository'!$U175)&gt;0,FALSE)),'NFR repository'!$I175,0)</f>
        <v>0</v>
      </c>
      <c r="BB175" s="231">
        <f>IF(AND('NFR repository'!$H175=Params!$I$3,IFERROR(FIND(BB$1,'NFR repository'!$U175)&gt;0,FALSE)),'NFR repository'!$I175,0)</f>
        <v>0</v>
      </c>
      <c r="BC175" s="231">
        <f>IF(AND('NFR repository'!$H175=Params!$I$3,IFERROR(FIND(BC$1,'NFR repository'!$U175)&gt;0,FALSE)),'NFR repository'!$I175,0)</f>
        <v>0</v>
      </c>
      <c r="BD175" s="231">
        <f>IF(AND('NFR repository'!$H175=Params!$I$3,IFERROR(FIND(BD$1,'NFR repository'!$U175)&gt;0,FALSE)),'NFR repository'!$I175,0)</f>
        <v>0</v>
      </c>
      <c r="BE175" s="93">
        <f>IF(AND('NFR repository'!$H175=Params!$I$3,IFERROR(FIND(BE$1,'NFR repository'!$U175)&gt;0,FALSE)),'NFR repository'!$I175,0)</f>
        <v>0</v>
      </c>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row>
    <row r="176" spans="1:84" ht="15.75" x14ac:dyDescent="0.25">
      <c r="A176" s="1"/>
      <c r="B176" s="52" t="s">
        <v>101</v>
      </c>
      <c r="C176" s="39" t="s">
        <v>105</v>
      </c>
      <c r="D176" s="88"/>
      <c r="E176" s="88"/>
      <c r="F176" s="41"/>
      <c r="G176" s="77"/>
      <c r="H176" s="41"/>
      <c r="I176" s="50"/>
      <c r="J176" s="218"/>
      <c r="K176" s="218"/>
      <c r="L176" s="205"/>
      <c r="M176" s="77"/>
      <c r="N176" s="77"/>
      <c r="O176" s="77"/>
      <c r="P176" s="77"/>
      <c r="Q176" s="77"/>
      <c r="R176" s="77"/>
      <c r="S176" s="41"/>
      <c r="T176" s="41"/>
      <c r="U176" s="41"/>
      <c r="V176" s="41"/>
      <c r="W176" s="4"/>
      <c r="X176" s="4"/>
      <c r="Y176" s="4"/>
      <c r="Z176" s="4"/>
      <c r="AA176" s="4"/>
      <c r="AB176" s="4"/>
      <c r="AC176" s="4"/>
      <c r="AD176" s="4"/>
      <c r="AE176" s="4"/>
      <c r="AF176" s="4"/>
      <c r="AG176" s="4"/>
      <c r="AH176" s="4"/>
      <c r="AI176" s="4"/>
      <c r="AJ176" s="4"/>
      <c r="AK176" s="4"/>
      <c r="AL176" s="4"/>
      <c r="AM176" s="4"/>
      <c r="AN176" s="4"/>
      <c r="AO176" s="4"/>
      <c r="AP176" s="4"/>
      <c r="AQ176" s="4"/>
      <c r="AR176" s="2"/>
      <c r="AS176" s="92" t="e">
        <f ca="1">IF(AND('NFR repository'!H176=Params!$I$3,INDIRECT("'NFR repository'!L" &amp; ROW('NFR repository'!A176) &amp; "C" &amp; TEXT(24 + $AS$2,"0"),FALSE)&lt;&gt;""),'NFR repository'!I176,0)</f>
        <v>#REF!</v>
      </c>
      <c r="AT176" s="168" t="e">
        <f ca="1">IF(AND('NFR repository'!H176=Params!$I$3,INDIRECT("'NFR repository'!L" &amp; ROW('NFR repository'!R176) &amp; "C" &amp; TEXT(28 + $AT$2,"0"),FALSE)&lt;&gt;""),'NFR repository'!I176,0)</f>
        <v>#REF!</v>
      </c>
      <c r="AU176" s="168" t="e">
        <f ca="1">IF(AND('NFR repository'!H176=Params!$I$3,INDIRECT("'NFR repository'!L" &amp; ROW('NFR repository'!R176) &amp; "C" &amp; TEXT(32 + $AU$2,"0"),FALSE)&lt;&gt;""),'NFR repository'!I176,0)</f>
        <v>#REF!</v>
      </c>
      <c r="AV176" s="233" t="e">
        <f ca="1">IF(AND('NFR repository'!H176=Params!$I$3,INDIRECT("'NFR repository'!L" &amp; ROW('NFR repository'!R176) &amp; "C" &amp; TEXT(36 + $AV$2,"0"),FALSE)&lt;&gt;""),'NFR repository'!I176,0)</f>
        <v>#REF!</v>
      </c>
      <c r="AW176" s="92">
        <f>IF(AND('NFR repository'!$H176=Params!$I$3,IFERROR(FIND(AW$1,'NFR repository'!$U176)&gt;0,FALSE)),'NFR repository'!$I176,0)</f>
        <v>0</v>
      </c>
      <c r="AX176" s="231">
        <f>IF(AND('NFR repository'!$H176=Params!$I$3,Synthesis!$I$8&lt;&gt;Params!$B$17,IFERROR(FIND(AX$1,'NFR repository'!$U176)&gt;0,FALSE)),'NFR repository'!$I176,0)</f>
        <v>0</v>
      </c>
      <c r="AY176" s="231">
        <f>IF(AND('NFR repository'!$H176=Params!$I$3,IFERROR(FIND(AY$1,'NFR repository'!$U176)&gt;0,FALSE)),'NFR repository'!$I176,0)</f>
        <v>0</v>
      </c>
      <c r="AZ176" s="231">
        <f>IF(AND('NFR repository'!$H176=Params!$I$3,IFERROR(FIND(AZ$1,'NFR repository'!$U176)&gt;0,FALSE)),'NFR repository'!$I176,0)</f>
        <v>0</v>
      </c>
      <c r="BA176" s="231">
        <f>IF(AND('NFR repository'!$H176=Params!$I$3,IFERROR(FIND(BA$1,'NFR repository'!$U176)&gt;0,FALSE)),'NFR repository'!$I176,0)</f>
        <v>0</v>
      </c>
      <c r="BB176" s="231">
        <f>IF(AND('NFR repository'!$H176=Params!$I$3,IFERROR(FIND(BB$1,'NFR repository'!$U176)&gt;0,FALSE)),'NFR repository'!$I176,0)</f>
        <v>0</v>
      </c>
      <c r="BC176" s="231">
        <f>IF(AND('NFR repository'!$H176=Params!$I$3,IFERROR(FIND(BC$1,'NFR repository'!$U176)&gt;0,FALSE)),'NFR repository'!$I176,0)</f>
        <v>0</v>
      </c>
      <c r="BD176" s="231">
        <f>IF(AND('NFR repository'!$H176=Params!$I$3,IFERROR(FIND(BD$1,'NFR repository'!$U176)&gt;0,FALSE)),'NFR repository'!$I176,0)</f>
        <v>0</v>
      </c>
      <c r="BE176" s="93">
        <f>IF(AND('NFR repository'!$H176=Params!$I$3,IFERROR(FIND(BE$1,'NFR repository'!$U176)&gt;0,FALSE)),'NFR repository'!$I176,0)</f>
        <v>0</v>
      </c>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row>
    <row r="177" spans="1:84" ht="60" x14ac:dyDescent="0.25">
      <c r="A177" s="1"/>
      <c r="B177" s="193" t="s">
        <v>260</v>
      </c>
      <c r="C177" s="194" t="s">
        <v>495</v>
      </c>
      <c r="D177" s="36" t="s">
        <v>137</v>
      </c>
      <c r="E177" s="36"/>
      <c r="F177" s="35" t="s">
        <v>588</v>
      </c>
      <c r="G177" s="51" t="s">
        <v>583</v>
      </c>
      <c r="H177" s="35" t="s">
        <v>472</v>
      </c>
      <c r="I177" s="72" t="s">
        <v>41</v>
      </c>
      <c r="J177" s="215"/>
      <c r="K177" s="215"/>
      <c r="L177" s="195"/>
      <c r="M177" s="51" t="s">
        <v>139</v>
      </c>
      <c r="N177" s="51" t="s">
        <v>139</v>
      </c>
      <c r="O177" s="51" t="s">
        <v>576</v>
      </c>
      <c r="P177" s="51" t="s">
        <v>577</v>
      </c>
      <c r="Q177" s="51" t="s">
        <v>46</v>
      </c>
      <c r="R177" s="51" t="s">
        <v>46</v>
      </c>
      <c r="S177" s="35" t="s">
        <v>46</v>
      </c>
      <c r="T177" s="35" t="s">
        <v>46</v>
      </c>
      <c r="U177" s="35" t="s">
        <v>591</v>
      </c>
      <c r="V177" s="35" t="s">
        <v>591</v>
      </c>
      <c r="W177" s="3"/>
      <c r="X177" s="3"/>
      <c r="Y177" s="3"/>
      <c r="Z177" s="3"/>
      <c r="AA177" s="3"/>
      <c r="AB177" s="3"/>
      <c r="AC177" s="3"/>
      <c r="AD177" s="3"/>
      <c r="AE177" s="3"/>
      <c r="AF177" s="3"/>
      <c r="AG177" s="3"/>
      <c r="AH177" s="3"/>
      <c r="AI177" s="3"/>
      <c r="AJ177" s="3"/>
      <c r="AK177" s="3"/>
      <c r="AL177" s="3"/>
      <c r="AM177" s="3"/>
      <c r="AN177" s="3"/>
      <c r="AO177" s="3"/>
      <c r="AP177" s="3"/>
      <c r="AQ177" s="3"/>
      <c r="AR177" s="2"/>
      <c r="AS177" s="92" t="e">
        <f ca="1">IF(AND('NFR repository'!H177=Params!$I$3,INDIRECT("'NFR repository'!L" &amp; ROW('NFR repository'!A177) &amp; "C" &amp; TEXT(24 + $AS$2,"0"),FALSE)&lt;&gt;""),'NFR repository'!I177,0)</f>
        <v>#REF!</v>
      </c>
      <c r="AT177" s="168" t="e">
        <f ca="1">IF(AND('NFR repository'!H177=Params!$I$3,INDIRECT("'NFR repository'!L" &amp; ROW('NFR repository'!R177) &amp; "C" &amp; TEXT(28 + $AT$2,"0"),FALSE)&lt;&gt;""),'NFR repository'!I177,0)</f>
        <v>#REF!</v>
      </c>
      <c r="AU177" s="168" t="e">
        <f ca="1">IF(AND('NFR repository'!H177=Params!$I$3,INDIRECT("'NFR repository'!L" &amp; ROW('NFR repository'!R177) &amp; "C" &amp; TEXT(32 + $AU$2,"0"),FALSE)&lt;&gt;""),'NFR repository'!I177,0)</f>
        <v>#REF!</v>
      </c>
      <c r="AV177" s="233" t="e">
        <f ca="1">IF(AND('NFR repository'!H177=Params!$I$3,INDIRECT("'NFR repository'!L" &amp; ROW('NFR repository'!R177) &amp; "C" &amp; TEXT(36 + $AV$2,"0"),FALSE)&lt;&gt;""),'NFR repository'!I177,0)</f>
        <v>#REF!</v>
      </c>
      <c r="AW177" s="92">
        <f>IF(AND('NFR repository'!$H177=Params!$I$3,IFERROR(FIND(AW$1,'NFR repository'!$U177)&gt;0,FALSE)),'NFR repository'!$I177,0)</f>
        <v>0</v>
      </c>
      <c r="AX177" s="231">
        <f>IF(AND('NFR repository'!$H177=Params!$I$3,Synthesis!$I$8&lt;&gt;Params!$B$17,IFERROR(FIND(AX$1,'NFR repository'!$U177)&gt;0,FALSE)),'NFR repository'!$I177,0)</f>
        <v>0</v>
      </c>
      <c r="AY177" s="231">
        <f>IF(AND('NFR repository'!$H177=Params!$I$3,IFERROR(FIND(AY$1,'NFR repository'!$U177)&gt;0,FALSE)),'NFR repository'!$I177,0)</f>
        <v>0</v>
      </c>
      <c r="AZ177" s="231">
        <f>IF(AND('NFR repository'!$H177=Params!$I$3,IFERROR(FIND(AZ$1,'NFR repository'!$U177)&gt;0,FALSE)),'NFR repository'!$I177,0)</f>
        <v>0</v>
      </c>
      <c r="BA177" s="231">
        <f>IF(AND('NFR repository'!$H177=Params!$I$3,IFERROR(FIND(BA$1,'NFR repository'!$U177)&gt;0,FALSE)),'NFR repository'!$I177,0)</f>
        <v>0</v>
      </c>
      <c r="BB177" s="231">
        <f>IF(AND('NFR repository'!$H177=Params!$I$3,IFERROR(FIND(BB$1,'NFR repository'!$U177)&gt;0,FALSE)),'NFR repository'!$I177,0)</f>
        <v>0</v>
      </c>
      <c r="BC177" s="231">
        <f>IF(AND('NFR repository'!$H177=Params!$I$3,IFERROR(FIND(BC$1,'NFR repository'!$U177)&gt;0,FALSE)),'NFR repository'!$I177,0)</f>
        <v>0</v>
      </c>
      <c r="BD177" s="231">
        <f>IF(AND('NFR repository'!$H177=Params!$I$3,IFERROR(FIND(BD$1,'NFR repository'!$U177)&gt;0,FALSE)),'NFR repository'!$I177,0)</f>
        <v>0</v>
      </c>
      <c r="BE177" s="93">
        <f>IF(AND('NFR repository'!$H177=Params!$I$3,IFERROR(FIND(BE$1,'NFR repository'!$U177)&gt;0,FALSE)),'NFR repository'!$I177,0)</f>
        <v>0</v>
      </c>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row>
    <row r="178" spans="1:84" ht="16.5" thickBot="1" x14ac:dyDescent="0.3">
      <c r="A178" s="1"/>
      <c r="B178" s="52" t="s">
        <v>102</v>
      </c>
      <c r="C178" s="39" t="s">
        <v>88</v>
      </c>
      <c r="D178" s="82"/>
      <c r="E178" s="82"/>
      <c r="F178" s="4"/>
      <c r="G178" s="4"/>
      <c r="H178" s="4"/>
      <c r="I178" s="49"/>
      <c r="J178" s="213"/>
      <c r="K178" s="213"/>
      <c r="L178" s="189"/>
      <c r="M178" s="12"/>
      <c r="N178" s="12"/>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2"/>
      <c r="AS178" s="94" t="e">
        <f ca="1">IF(AND('NFR repository'!H178=Params!$I$3,INDIRECT("'NFR repository'!L" &amp; ROW('NFR repository'!A178) &amp; "C" &amp; TEXT(24 + $AS$2,"0"),FALSE)&lt;&gt;""),'NFR repository'!I178,0)</f>
        <v>#REF!</v>
      </c>
      <c r="AT178" s="95" t="e">
        <f ca="1">IF(AND('NFR repository'!H178=Params!$I$3,INDIRECT("'NFR repository'!L" &amp; ROW('NFR repository'!R178) &amp; "C" &amp; TEXT(28 + $AT$2,"0"),FALSE)&lt;&gt;""),'NFR repository'!I178,0)</f>
        <v>#REF!</v>
      </c>
      <c r="AU178" s="95" t="e">
        <f ca="1">IF(AND('NFR repository'!H178=Params!$I$3,INDIRECT("'NFR repository'!L" &amp; ROW('NFR repository'!R178) &amp; "C" &amp; TEXT(32 + $AU$2,"0"),FALSE)&lt;&gt;""),'NFR repository'!I178,0)</f>
        <v>#REF!</v>
      </c>
      <c r="AV178" s="105" t="e">
        <f ca="1">IF(AND('NFR repository'!H178=Params!$I$3,INDIRECT("'NFR repository'!L" &amp; ROW('NFR repository'!R178) &amp; "C" &amp; TEXT(36 + $AV$2,"0"),FALSE)&lt;&gt;""),'NFR repository'!I178,0)</f>
        <v>#REF!</v>
      </c>
      <c r="AW178" s="94">
        <f>IF(AND('NFR repository'!$H178=Params!$I$3,IFERROR(FIND(AW$1,'NFR repository'!$U178)&gt;0,FALSE)),'NFR repository'!$I178,0)</f>
        <v>0</v>
      </c>
      <c r="AX178" s="95">
        <f>IF(AND('NFR repository'!$H178=Params!$I$3,Synthesis!$I$8&lt;&gt;Params!$B$17,IFERROR(FIND(AX$1,'NFR repository'!$U178)&gt;0,FALSE)),'NFR repository'!$I178,0)</f>
        <v>0</v>
      </c>
      <c r="AY178" s="95">
        <f>IF(AND('NFR repository'!$H178=Params!$I$3,IFERROR(FIND(AY$1,'NFR repository'!$U178)&gt;0,FALSE)),'NFR repository'!$I178,0)</f>
        <v>0</v>
      </c>
      <c r="AZ178" s="95">
        <f>IF(AND('NFR repository'!$H178=Params!$I$3,IFERROR(FIND(AZ$1,'NFR repository'!$U178)&gt;0,FALSE)),'NFR repository'!$I178,0)</f>
        <v>0</v>
      </c>
      <c r="BA178" s="95">
        <f>IF(AND('NFR repository'!$H178=Params!$I$3,IFERROR(FIND(BA$1,'NFR repository'!$U178)&gt;0,FALSE)),'NFR repository'!$I178,0)</f>
        <v>0</v>
      </c>
      <c r="BB178" s="95">
        <f>IF(AND('NFR repository'!$H178=Params!$I$3,IFERROR(FIND(BB$1,'NFR repository'!$U178)&gt;0,FALSE)),'NFR repository'!$I178,0)</f>
        <v>0</v>
      </c>
      <c r="BC178" s="95">
        <f>IF(AND('NFR repository'!$H178=Params!$I$3,IFERROR(FIND(BC$1,'NFR repository'!$U178)&gt;0,FALSE)),'NFR repository'!$I178,0)</f>
        <v>0</v>
      </c>
      <c r="BD178" s="95">
        <f>IF(AND('NFR repository'!$H178=Params!$I$3,IFERROR(FIND(BD$1,'NFR repository'!$U178)&gt;0,FALSE)),'NFR repository'!$I178,0)</f>
        <v>0</v>
      </c>
      <c r="BE178" s="96">
        <f>IF(AND('NFR repository'!$H178=Params!$I$3,IFERROR(FIND(BE$1,'NFR repository'!$U178)&gt;0,FALSE)),'NFR repository'!$I178,0)</f>
        <v>0</v>
      </c>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row>
    <row r="179" spans="1:84" x14ac:dyDescent="0.25">
      <c r="A179" s="1"/>
      <c r="B179" s="2"/>
      <c r="C179" s="2"/>
      <c r="D179" s="2"/>
      <c r="E179" s="2"/>
      <c r="F179" s="2"/>
      <c r="G179" s="2"/>
      <c r="H179" s="2"/>
      <c r="I179" s="2"/>
      <c r="J179" s="2"/>
      <c r="K179" s="2"/>
      <c r="L179" s="2"/>
      <c r="M179" s="13"/>
      <c r="N179" s="13"/>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48"/>
      <c r="AR179" s="2"/>
      <c r="AS179" s="2"/>
      <c r="AT179" s="2"/>
      <c r="AU179" s="2"/>
      <c r="AV179" s="2"/>
      <c r="AW179" s="2"/>
      <c r="AX179" s="2"/>
      <c r="AY179" s="2"/>
      <c r="AZ179" s="2"/>
      <c r="BA179" s="2"/>
      <c r="BB179" s="2"/>
      <c r="BC179" s="2"/>
      <c r="BD179" s="2"/>
      <c r="BE179" s="2"/>
      <c r="BF179" s="1"/>
      <c r="BG179" s="2"/>
      <c r="BH179" s="2"/>
      <c r="BI179" s="2"/>
      <c r="BJ179" s="2"/>
      <c r="BK179" s="2"/>
      <c r="BL179" s="2"/>
      <c r="BM179" s="2"/>
      <c r="BN179" s="2"/>
      <c r="BO179" s="2"/>
      <c r="BP179" s="2"/>
      <c r="BQ179" s="2"/>
      <c r="BR179" s="2"/>
      <c r="BS179" s="1"/>
      <c r="BT179" s="1"/>
      <c r="BU179" s="1"/>
      <c r="BV179" s="1"/>
      <c r="BW179" s="1"/>
      <c r="BX179" s="1"/>
      <c r="BY179" s="1"/>
      <c r="BZ179" s="1"/>
      <c r="CA179" s="1"/>
      <c r="CB179" s="1"/>
      <c r="CC179" s="1"/>
      <c r="CD179" s="1"/>
      <c r="CE179" s="1"/>
      <c r="CF179" s="1"/>
    </row>
    <row r="180" spans="1:84" x14ac:dyDescent="0.25">
      <c r="A180" s="1"/>
      <c r="B180" s="2"/>
      <c r="C180" s="8"/>
      <c r="D180" s="8"/>
      <c r="E180" s="2"/>
      <c r="F180" s="2"/>
      <c r="G180" s="2"/>
      <c r="H180" s="2"/>
      <c r="I180" s="2"/>
      <c r="J180" s="2"/>
      <c r="K180" s="2"/>
      <c r="L180" s="2"/>
      <c r="M180" s="13"/>
      <c r="N180" s="13"/>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c r="BF180" s="1"/>
      <c r="BG180" s="2"/>
      <c r="BH180" s="2"/>
      <c r="BI180" s="2"/>
      <c r="BJ180" s="2"/>
      <c r="BK180" s="2"/>
      <c r="BL180" s="2"/>
      <c r="BM180" s="2"/>
      <c r="BN180" s="2"/>
      <c r="BO180" s="2"/>
      <c r="BP180" s="2"/>
      <c r="BQ180" s="2"/>
      <c r="BR180" s="2"/>
      <c r="BS180" s="1"/>
      <c r="BT180" s="1"/>
      <c r="BU180" s="1"/>
      <c r="BV180" s="1"/>
      <c r="BW180" s="1"/>
      <c r="BX180" s="1"/>
      <c r="BY180" s="1"/>
      <c r="BZ180" s="1"/>
      <c r="CA180" s="1"/>
      <c r="CB180" s="1"/>
      <c r="CC180" s="1"/>
      <c r="CD180" s="1"/>
      <c r="CE180" s="1"/>
      <c r="CF180" s="1"/>
    </row>
    <row r="181" spans="1:84" x14ac:dyDescent="0.25">
      <c r="A181" s="1"/>
      <c r="B181" s="2"/>
      <c r="C181" s="8"/>
      <c r="D181" s="8"/>
      <c r="E181" s="2"/>
      <c r="F181" s="2"/>
      <c r="G181" s="2"/>
      <c r="H181" s="2"/>
      <c r="I181" s="2"/>
      <c r="J181" s="2"/>
      <c r="K181" s="2"/>
      <c r="L181" s="8"/>
      <c r="M181" s="13"/>
      <c r="N181" s="13"/>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1"/>
      <c r="BG181" s="2"/>
      <c r="BH181" s="2"/>
      <c r="BI181" s="2"/>
      <c r="BJ181" s="2"/>
      <c r="BK181" s="2"/>
      <c r="BL181" s="2"/>
      <c r="BM181" s="2"/>
      <c r="BN181" s="2"/>
      <c r="BO181" s="2"/>
      <c r="BP181" s="2"/>
      <c r="BQ181" s="2"/>
      <c r="BR181" s="2"/>
      <c r="BS181" s="1"/>
      <c r="BT181" s="1"/>
      <c r="BU181" s="1"/>
      <c r="BV181" s="1"/>
      <c r="BW181" s="1"/>
      <c r="BX181" s="1"/>
      <c r="BY181" s="1"/>
      <c r="BZ181" s="1"/>
      <c r="CA181" s="1"/>
      <c r="CB181" s="1"/>
      <c r="CC181" s="1"/>
      <c r="CD181" s="1"/>
      <c r="CE181" s="1"/>
      <c r="CF181" s="1"/>
    </row>
    <row r="182" spans="1:84" x14ac:dyDescent="0.25">
      <c r="A182" s="1"/>
      <c r="B182" s="2"/>
      <c r="C182" s="8"/>
      <c r="D182" s="8"/>
      <c r="E182" s="2"/>
      <c r="F182" s="2"/>
      <c r="G182" s="2"/>
      <c r="H182" s="2"/>
      <c r="I182" s="2"/>
      <c r="J182" s="2"/>
      <c r="K182" s="2"/>
      <c r="L182" s="2"/>
      <c r="M182" s="13"/>
      <c r="N182" s="13"/>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c r="BF182" s="1"/>
      <c r="BG182" s="2"/>
      <c r="BH182" s="2"/>
      <c r="BI182" s="2"/>
      <c r="BJ182" s="2"/>
      <c r="BK182" s="2"/>
      <c r="BL182" s="2"/>
      <c r="BM182" s="2"/>
      <c r="BN182" s="2"/>
      <c r="BO182" s="2"/>
      <c r="BP182" s="2"/>
      <c r="BQ182" s="2"/>
      <c r="BR182" s="2"/>
      <c r="BS182" s="1"/>
      <c r="BT182" s="1"/>
      <c r="BU182" s="1"/>
      <c r="BV182" s="1"/>
      <c r="BW182" s="1"/>
      <c r="BX182" s="1"/>
      <c r="BY182" s="1"/>
      <c r="BZ182" s="1"/>
      <c r="CA182" s="1"/>
      <c r="CB182" s="1"/>
      <c r="CC182" s="1"/>
      <c r="CD182" s="1"/>
      <c r="CE182" s="1"/>
      <c r="CF182" s="1"/>
    </row>
    <row r="183" spans="1:84" x14ac:dyDescent="0.25">
      <c r="A183" s="1"/>
      <c r="B183" s="2"/>
      <c r="C183" s="8"/>
      <c r="D183" s="8"/>
      <c r="E183" s="2"/>
      <c r="F183" s="2"/>
      <c r="G183" s="2"/>
      <c r="H183" s="2"/>
      <c r="I183" s="2"/>
      <c r="J183" s="2"/>
      <c r="K183" s="2"/>
      <c r="L183" s="2"/>
      <c r="M183" s="13"/>
      <c r="N183" s="13"/>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c r="BF183" s="1"/>
      <c r="BG183" s="2"/>
      <c r="BH183" s="2"/>
      <c r="BI183" s="2"/>
      <c r="BJ183" s="2"/>
      <c r="BK183" s="2"/>
      <c r="BL183" s="2"/>
      <c r="BM183" s="2"/>
      <c r="BN183" s="2"/>
      <c r="BO183" s="2"/>
      <c r="BP183" s="2"/>
      <c r="BQ183" s="2"/>
      <c r="BR183" s="2"/>
      <c r="BS183" s="1"/>
      <c r="BT183" s="1"/>
      <c r="BU183" s="1"/>
      <c r="BV183" s="1"/>
      <c r="BW183" s="1"/>
      <c r="BX183" s="1"/>
      <c r="BY183" s="1"/>
      <c r="BZ183" s="1"/>
      <c r="CA183" s="1"/>
      <c r="CB183" s="1"/>
      <c r="CC183" s="1"/>
      <c r="CD183" s="1"/>
      <c r="CE183" s="1"/>
      <c r="CF183" s="1"/>
    </row>
    <row r="184" spans="1:84" x14ac:dyDescent="0.25">
      <c r="A184" s="1"/>
      <c r="B184" s="2"/>
      <c r="C184" s="8"/>
      <c r="D184" s="8"/>
      <c r="E184" s="2"/>
      <c r="F184" s="2"/>
      <c r="G184" s="2"/>
      <c r="H184" s="2"/>
      <c r="I184" s="2"/>
      <c r="J184" s="2"/>
      <c r="K184" s="2"/>
      <c r="L184" s="2"/>
      <c r="M184" s="13"/>
      <c r="N184" s="13"/>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1"/>
      <c r="BG184" s="2"/>
      <c r="BH184" s="2"/>
      <c r="BI184" s="2"/>
      <c r="BJ184" s="2"/>
      <c r="BK184" s="2"/>
      <c r="BL184" s="2"/>
      <c r="BM184" s="2"/>
      <c r="BN184" s="2"/>
      <c r="BO184" s="2"/>
      <c r="BP184" s="2"/>
      <c r="BQ184" s="2"/>
      <c r="BR184" s="2"/>
      <c r="BS184" s="1"/>
      <c r="BT184" s="1"/>
      <c r="BU184" s="1"/>
      <c r="BV184" s="1"/>
      <c r="BW184" s="1"/>
      <c r="BX184" s="1"/>
      <c r="BY184" s="1"/>
      <c r="BZ184" s="1"/>
      <c r="CA184" s="1"/>
      <c r="CB184" s="1"/>
      <c r="CC184" s="1"/>
      <c r="CD184" s="1"/>
      <c r="CE184" s="1"/>
      <c r="CF184" s="1"/>
    </row>
    <row r="185" spans="1:84" x14ac:dyDescent="0.25">
      <c r="A185" s="1"/>
      <c r="B185" s="2"/>
      <c r="C185" s="8"/>
      <c r="D185" s="8"/>
      <c r="E185" s="2"/>
      <c r="F185" s="2"/>
      <c r="G185" s="2"/>
      <c r="H185" s="2"/>
      <c r="I185" s="2"/>
      <c r="J185" s="2"/>
      <c r="K185" s="2"/>
      <c r="L185" s="2"/>
      <c r="M185" s="13"/>
      <c r="N185" s="13"/>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c r="BF185" s="1"/>
      <c r="BG185" s="2"/>
      <c r="BH185" s="2"/>
      <c r="BI185" s="2"/>
      <c r="BJ185" s="2"/>
      <c r="BK185" s="2"/>
      <c r="BL185" s="2"/>
      <c r="BM185" s="2"/>
      <c r="BN185" s="2"/>
      <c r="BO185" s="2"/>
      <c r="BP185" s="2"/>
      <c r="BQ185" s="2"/>
      <c r="BR185" s="2"/>
      <c r="BS185" s="1"/>
      <c r="BT185" s="1"/>
      <c r="BU185" s="1"/>
      <c r="BV185" s="1"/>
      <c r="BW185" s="1"/>
      <c r="BX185" s="1"/>
      <c r="BY185" s="1"/>
      <c r="BZ185" s="1"/>
      <c r="CA185" s="1"/>
      <c r="CB185" s="1"/>
      <c r="CC185" s="1"/>
      <c r="CD185" s="1"/>
      <c r="CE185" s="1"/>
      <c r="CF185" s="1"/>
    </row>
    <row r="186" spans="1:84" x14ac:dyDescent="0.25">
      <c r="A186" s="1"/>
      <c r="B186" s="2"/>
      <c r="C186" s="8"/>
      <c r="D186" s="8"/>
      <c r="E186" s="2"/>
      <c r="F186" s="2"/>
      <c r="G186" s="2"/>
      <c r="H186" s="2"/>
      <c r="I186" s="2"/>
      <c r="J186" s="2"/>
      <c r="K186" s="2"/>
      <c r="L186" s="2"/>
      <c r="M186" s="13"/>
      <c r="N186" s="13"/>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1"/>
      <c r="BG186" s="2"/>
      <c r="BH186" s="2"/>
      <c r="BI186" s="2"/>
      <c r="BJ186" s="2"/>
      <c r="BK186" s="2"/>
      <c r="BL186" s="2"/>
      <c r="BM186" s="2"/>
      <c r="BN186" s="2"/>
      <c r="BO186" s="2"/>
      <c r="BP186" s="2"/>
      <c r="BQ186" s="2"/>
      <c r="BR186" s="2"/>
      <c r="BS186" s="1"/>
      <c r="BT186" s="1"/>
      <c r="BU186" s="1"/>
      <c r="BV186" s="1"/>
      <c r="BW186" s="1"/>
      <c r="BX186" s="1"/>
      <c r="BY186" s="1"/>
      <c r="BZ186" s="1"/>
      <c r="CA186" s="1"/>
      <c r="CB186" s="1"/>
      <c r="CC186" s="1"/>
      <c r="CD186" s="1"/>
      <c r="CE186" s="1"/>
      <c r="CF186" s="1"/>
    </row>
    <row r="187" spans="1:84" x14ac:dyDescent="0.25">
      <c r="A187" s="1"/>
      <c r="B187" s="2"/>
      <c r="C187" s="2"/>
      <c r="D187" s="2"/>
      <c r="E187" s="2"/>
      <c r="F187" s="2"/>
      <c r="G187" s="2"/>
      <c r="H187" s="2"/>
      <c r="I187" s="2"/>
      <c r="J187" s="2"/>
      <c r="K187" s="2"/>
      <c r="L187" s="2"/>
      <c r="M187" s="13"/>
      <c r="N187" s="13"/>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1"/>
      <c r="BG187" s="2"/>
      <c r="BH187" s="2"/>
      <c r="BI187" s="2"/>
      <c r="BJ187" s="2"/>
      <c r="BK187" s="2"/>
      <c r="BL187" s="2"/>
      <c r="BM187" s="2"/>
      <c r="BN187" s="2"/>
      <c r="BO187" s="2"/>
      <c r="BP187" s="2"/>
      <c r="BQ187" s="2"/>
      <c r="BR187" s="2"/>
      <c r="BS187" s="1"/>
      <c r="BT187" s="1"/>
      <c r="BU187" s="1"/>
      <c r="BV187" s="1"/>
      <c r="BW187" s="1"/>
      <c r="BX187" s="1"/>
      <c r="BY187" s="1"/>
      <c r="BZ187" s="1"/>
      <c r="CA187" s="1"/>
      <c r="CB187" s="1"/>
      <c r="CC187" s="1"/>
      <c r="CD187" s="1"/>
      <c r="CE187" s="1"/>
      <c r="CF187" s="1"/>
    </row>
    <row r="188" spans="1:84" x14ac:dyDescent="0.25">
      <c r="A188" s="1"/>
      <c r="B188" s="2"/>
      <c r="C188" s="2"/>
      <c r="D188" s="2"/>
      <c r="E188" s="2"/>
      <c r="F188" s="2"/>
      <c r="G188" s="2"/>
      <c r="H188" s="2"/>
      <c r="I188" s="2"/>
      <c r="J188" s="2"/>
      <c r="K188" s="2"/>
      <c r="L188" s="2"/>
      <c r="M188" s="13"/>
      <c r="N188" s="13"/>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1"/>
      <c r="BG188" s="2"/>
      <c r="BH188" s="2"/>
      <c r="BI188" s="2"/>
      <c r="BJ188" s="2"/>
      <c r="BK188" s="2"/>
      <c r="BL188" s="2"/>
      <c r="BM188" s="2"/>
      <c r="BN188" s="2"/>
      <c r="BO188" s="2"/>
      <c r="BP188" s="2"/>
      <c r="BQ188" s="2"/>
      <c r="BR188" s="2"/>
      <c r="BS188" s="1"/>
      <c r="BT188" s="1"/>
      <c r="BU188" s="1"/>
      <c r="BV188" s="1"/>
      <c r="BW188" s="1"/>
      <c r="BX188" s="1"/>
      <c r="BY188" s="1"/>
      <c r="BZ188" s="1"/>
      <c r="CA188" s="1"/>
      <c r="CB188" s="1"/>
      <c r="CC188" s="1"/>
      <c r="CD188" s="1"/>
      <c r="CE188" s="1"/>
      <c r="CF188" s="1"/>
    </row>
    <row r="189" spans="1:84" x14ac:dyDescent="0.25">
      <c r="A189" s="1"/>
      <c r="B189" s="2"/>
      <c r="C189" s="2"/>
      <c r="D189" s="2"/>
      <c r="E189" s="2"/>
      <c r="F189" s="2"/>
      <c r="G189" s="2"/>
      <c r="H189" s="2"/>
      <c r="I189" s="2"/>
      <c r="J189" s="2"/>
      <c r="K189" s="2"/>
      <c r="L189" s="2"/>
      <c r="M189" s="13"/>
      <c r="N189" s="13"/>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1"/>
      <c r="BG189" s="2"/>
      <c r="BH189" s="2"/>
      <c r="BI189" s="2"/>
      <c r="BJ189" s="2"/>
      <c r="BK189" s="2"/>
      <c r="BL189" s="2"/>
      <c r="BM189" s="2"/>
      <c r="BN189" s="2"/>
      <c r="BO189" s="2"/>
      <c r="BP189" s="2"/>
      <c r="BQ189" s="2"/>
      <c r="BR189" s="2"/>
      <c r="BS189" s="1"/>
      <c r="BT189" s="1"/>
      <c r="BU189" s="1"/>
      <c r="BV189" s="1"/>
      <c r="BW189" s="1"/>
      <c r="BX189" s="1"/>
      <c r="BY189" s="1"/>
      <c r="BZ189" s="1"/>
      <c r="CA189" s="1"/>
      <c r="CB189" s="1"/>
      <c r="CC189" s="1"/>
      <c r="CD189" s="1"/>
      <c r="CE189" s="1"/>
      <c r="CF189" s="1"/>
    </row>
    <row r="190" spans="1:84" x14ac:dyDescent="0.25">
      <c r="A190" s="1"/>
      <c r="B190" s="2"/>
      <c r="C190" s="2"/>
      <c r="D190" s="2"/>
      <c r="E190" s="2"/>
      <c r="F190" s="2"/>
      <c r="G190" s="2"/>
      <c r="H190" s="2"/>
      <c r="I190" s="2"/>
      <c r="J190" s="2"/>
      <c r="K190" s="2"/>
      <c r="L190" s="2"/>
      <c r="M190" s="13"/>
      <c r="N190" s="13"/>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1"/>
      <c r="BG190" s="2"/>
      <c r="BH190" s="2"/>
      <c r="BI190" s="2"/>
      <c r="BJ190" s="2"/>
      <c r="BK190" s="2"/>
      <c r="BL190" s="2"/>
      <c r="BM190" s="2"/>
      <c r="BN190" s="2"/>
      <c r="BO190" s="2"/>
      <c r="BP190" s="2"/>
      <c r="BQ190" s="2"/>
      <c r="BR190" s="2"/>
      <c r="BS190" s="1"/>
      <c r="BT190" s="1"/>
      <c r="BU190" s="1"/>
      <c r="BV190" s="1"/>
      <c r="BW190" s="1"/>
      <c r="BX190" s="1"/>
      <c r="BY190" s="1"/>
      <c r="BZ190" s="1"/>
      <c r="CA190" s="1"/>
      <c r="CB190" s="1"/>
      <c r="CC190" s="1"/>
      <c r="CD190" s="1"/>
      <c r="CE190" s="1"/>
      <c r="CF190" s="1"/>
    </row>
    <row r="191" spans="1:84" x14ac:dyDescent="0.25">
      <c r="A191" s="1"/>
      <c r="B191" s="2"/>
      <c r="C191" s="2"/>
      <c r="D191" s="2"/>
      <c r="E191" s="2"/>
      <c r="F191" s="2"/>
      <c r="G191" s="2"/>
      <c r="H191" s="2"/>
      <c r="I191" s="2"/>
      <c r="J191" s="2"/>
      <c r="K191" s="2"/>
      <c r="L191" s="2"/>
      <c r="M191" s="13"/>
      <c r="N191" s="13"/>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1"/>
      <c r="BG191" s="2"/>
      <c r="BH191" s="2"/>
      <c r="BI191" s="2"/>
      <c r="BJ191" s="2"/>
      <c r="BK191" s="2"/>
      <c r="BL191" s="2"/>
      <c r="BM191" s="2"/>
      <c r="BN191" s="2"/>
      <c r="BO191" s="2"/>
      <c r="BP191" s="2"/>
      <c r="BQ191" s="2"/>
      <c r="BR191" s="2"/>
      <c r="BS191" s="1"/>
      <c r="BT191" s="1"/>
      <c r="BU191" s="1"/>
      <c r="BV191" s="1"/>
      <c r="BW191" s="1"/>
      <c r="BX191" s="1"/>
      <c r="BY191" s="1"/>
      <c r="BZ191" s="1"/>
      <c r="CA191" s="1"/>
      <c r="CB191" s="1"/>
      <c r="CC191" s="1"/>
      <c r="CD191" s="1"/>
      <c r="CE191" s="1"/>
      <c r="CF191" s="1"/>
    </row>
    <row r="192" spans="1:84" x14ac:dyDescent="0.25">
      <c r="A192" s="1"/>
      <c r="B192" s="2"/>
      <c r="C192" s="2"/>
      <c r="D192" s="2"/>
      <c r="E192" s="2"/>
      <c r="F192" s="2"/>
      <c r="G192" s="2"/>
      <c r="H192" s="2"/>
      <c r="I192" s="2"/>
      <c r="J192" s="2"/>
      <c r="K192" s="2"/>
      <c r="L192" s="2"/>
      <c r="M192" s="13"/>
      <c r="N192" s="13"/>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1"/>
      <c r="BG192" s="2"/>
      <c r="BH192" s="2"/>
      <c r="BI192" s="2"/>
      <c r="BJ192" s="2"/>
      <c r="BK192" s="2"/>
      <c r="BL192" s="2"/>
      <c r="BM192" s="2"/>
      <c r="BN192" s="2"/>
      <c r="BO192" s="2"/>
      <c r="BP192" s="2"/>
      <c r="BQ192" s="2"/>
      <c r="BR192" s="2"/>
      <c r="BS192" s="1"/>
      <c r="BT192" s="1"/>
      <c r="BU192" s="1"/>
      <c r="BV192" s="1"/>
      <c r="BW192" s="1"/>
      <c r="BX192" s="1"/>
      <c r="BY192" s="1"/>
      <c r="BZ192" s="1"/>
      <c r="CA192" s="1"/>
      <c r="CB192" s="1"/>
      <c r="CC192" s="1"/>
      <c r="CD192" s="1"/>
      <c r="CE192" s="1"/>
      <c r="CF192" s="1"/>
    </row>
    <row r="193" spans="1:84" x14ac:dyDescent="0.25">
      <c r="A193" s="1"/>
      <c r="B193" s="2"/>
      <c r="C193" s="2"/>
      <c r="D193" s="2"/>
      <c r="E193" s="2"/>
      <c r="F193" s="2"/>
      <c r="G193" s="2"/>
      <c r="H193" s="2"/>
      <c r="I193" s="2"/>
      <c r="J193" s="2"/>
      <c r="K193" s="2"/>
      <c r="L193" s="2"/>
      <c r="M193" s="13"/>
      <c r="N193" s="13"/>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1"/>
      <c r="BG193" s="2"/>
      <c r="BH193" s="2"/>
      <c r="BI193" s="2"/>
      <c r="BJ193" s="2"/>
      <c r="BK193" s="2"/>
      <c r="BL193" s="2"/>
      <c r="BM193" s="2"/>
      <c r="BN193" s="2"/>
      <c r="BO193" s="2"/>
      <c r="BP193" s="2"/>
      <c r="BQ193" s="2"/>
      <c r="BR193" s="2"/>
      <c r="BS193" s="1"/>
      <c r="BT193" s="1"/>
      <c r="BU193" s="1"/>
      <c r="BV193" s="1"/>
      <c r="BW193" s="1"/>
      <c r="BX193" s="1"/>
      <c r="BY193" s="1"/>
      <c r="BZ193" s="1"/>
      <c r="CA193" s="1"/>
      <c r="CB193" s="1"/>
      <c r="CC193" s="1"/>
      <c r="CD193" s="1"/>
      <c r="CE193" s="1"/>
      <c r="CF193" s="1"/>
    </row>
    <row r="194" spans="1:84" x14ac:dyDescent="0.25">
      <c r="A194" s="1"/>
      <c r="B194" s="2"/>
      <c r="C194" s="2"/>
      <c r="D194" s="2"/>
      <c r="E194" s="2"/>
      <c r="F194" s="2"/>
      <c r="G194" s="2"/>
      <c r="H194" s="2"/>
      <c r="I194" s="2"/>
      <c r="J194" s="2"/>
      <c r="K194" s="2"/>
      <c r="L194" s="2"/>
      <c r="M194" s="13"/>
      <c r="N194" s="13"/>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1"/>
      <c r="BG194" s="2"/>
      <c r="BH194" s="2"/>
      <c r="BI194" s="2"/>
      <c r="BJ194" s="2"/>
      <c r="BK194" s="2"/>
      <c r="BL194" s="2"/>
      <c r="BM194" s="2"/>
      <c r="BN194" s="2"/>
      <c r="BO194" s="2"/>
      <c r="BP194" s="2"/>
      <c r="BQ194" s="2"/>
      <c r="BR194" s="2"/>
      <c r="BS194" s="1"/>
      <c r="BT194" s="1"/>
      <c r="BU194" s="1"/>
      <c r="BV194" s="1"/>
      <c r="BW194" s="1"/>
      <c r="BX194" s="1"/>
      <c r="BY194" s="1"/>
      <c r="BZ194" s="1"/>
      <c r="CA194" s="1"/>
      <c r="CB194" s="1"/>
      <c r="CC194" s="1"/>
      <c r="CD194" s="1"/>
      <c r="CE194" s="1"/>
      <c r="CF194" s="1"/>
    </row>
    <row r="195" spans="1:84" x14ac:dyDescent="0.25">
      <c r="A195" s="1"/>
      <c r="B195" s="2"/>
      <c r="C195" s="2"/>
      <c r="D195" s="2"/>
      <c r="E195" s="2"/>
      <c r="F195" s="2"/>
      <c r="G195" s="2"/>
      <c r="H195" s="2"/>
      <c r="I195" s="2"/>
      <c r="J195" s="2"/>
      <c r="K195" s="2"/>
      <c r="L195" s="2"/>
      <c r="M195" s="13"/>
      <c r="N195" s="13"/>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1"/>
      <c r="BG195" s="2"/>
      <c r="BH195" s="2"/>
      <c r="BI195" s="2"/>
      <c r="BJ195" s="2"/>
      <c r="BK195" s="2"/>
      <c r="BL195" s="2"/>
      <c r="BM195" s="2"/>
      <c r="BN195" s="2"/>
      <c r="BO195" s="2"/>
      <c r="BP195" s="2"/>
      <c r="BQ195" s="2"/>
      <c r="BR195" s="2"/>
      <c r="BS195" s="1"/>
      <c r="BT195" s="1"/>
      <c r="BU195" s="1"/>
      <c r="BV195" s="1"/>
      <c r="BW195" s="1"/>
      <c r="BX195" s="1"/>
      <c r="BY195" s="1"/>
      <c r="BZ195" s="1"/>
      <c r="CA195" s="1"/>
      <c r="CB195" s="1"/>
      <c r="CC195" s="1"/>
      <c r="CD195" s="1"/>
      <c r="CE195" s="1"/>
      <c r="CF195" s="1"/>
    </row>
    <row r="196" spans="1:84" x14ac:dyDescent="0.25">
      <c r="A196" s="1"/>
      <c r="B196" s="2"/>
      <c r="C196" s="2"/>
      <c r="D196" s="2"/>
      <c r="E196" s="2"/>
      <c r="F196" s="2"/>
      <c r="G196" s="2"/>
      <c r="H196" s="2"/>
      <c r="I196" s="2"/>
      <c r="J196" s="2"/>
      <c r="K196" s="2"/>
      <c r="L196" s="2"/>
      <c r="M196" s="13"/>
      <c r="N196" s="13"/>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1"/>
      <c r="AT196" s="1"/>
      <c r="AU196" s="1"/>
      <c r="AV196" s="1"/>
      <c r="AW196" s="1"/>
      <c r="AX196" s="1"/>
      <c r="AY196" s="1"/>
      <c r="AZ196" s="1"/>
      <c r="BA196" s="1"/>
      <c r="BB196" s="1"/>
      <c r="BC196" s="1"/>
      <c r="BD196" s="1"/>
      <c r="BE196" s="1"/>
      <c r="BF196" s="1"/>
      <c r="BG196" s="2"/>
      <c r="BH196" s="2"/>
      <c r="BI196" s="2"/>
      <c r="BJ196" s="2"/>
      <c r="BK196" s="2"/>
      <c r="BL196" s="2"/>
      <c r="BM196" s="2"/>
      <c r="BN196" s="2"/>
      <c r="BO196" s="2"/>
      <c r="BP196" s="2"/>
      <c r="BQ196" s="2"/>
      <c r="BR196" s="2"/>
      <c r="BS196" s="1"/>
      <c r="BT196" s="1"/>
      <c r="BU196" s="1"/>
      <c r="BV196" s="1"/>
      <c r="BW196" s="1"/>
      <c r="BX196" s="1"/>
      <c r="BY196" s="1"/>
      <c r="BZ196" s="1"/>
      <c r="CA196" s="1"/>
      <c r="CB196" s="1"/>
      <c r="CC196" s="1"/>
      <c r="CD196" s="1"/>
      <c r="CE196" s="1"/>
      <c r="CF196" s="1"/>
    </row>
    <row r="197" spans="1:84" x14ac:dyDescent="0.25">
      <c r="A197" s="2"/>
      <c r="B197" s="1"/>
      <c r="C197" s="1"/>
      <c r="D197" s="1"/>
      <c r="E197" s="1"/>
      <c r="F197" s="1"/>
      <c r="G197" s="1"/>
      <c r="H197" s="1"/>
      <c r="I197" s="1"/>
      <c r="J197" s="1"/>
      <c r="K197" s="1"/>
      <c r="L197" s="1"/>
      <c r="M197" s="54"/>
      <c r="N197" s="54"/>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row>
    <row r="198" spans="1:84" x14ac:dyDescent="0.25">
      <c r="A198" s="2"/>
      <c r="B198" s="1"/>
      <c r="C198" s="1"/>
      <c r="D198" s="1"/>
      <c r="E198" s="1"/>
      <c r="F198" s="1"/>
      <c r="G198" s="1"/>
      <c r="H198" s="1"/>
      <c r="I198" s="1"/>
      <c r="J198" s="1"/>
      <c r="K198" s="1"/>
      <c r="L198" s="1"/>
      <c r="M198" s="54"/>
      <c r="N198" s="54"/>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row>
    <row r="199" spans="1:84" x14ac:dyDescent="0.25">
      <c r="A199" s="2"/>
      <c r="B199" s="1"/>
      <c r="C199" s="1"/>
      <c r="D199" s="1"/>
      <c r="E199" s="1"/>
      <c r="F199" s="1"/>
      <c r="G199" s="1"/>
      <c r="H199" s="1"/>
      <c r="I199" s="1"/>
      <c r="J199" s="1"/>
      <c r="K199" s="1"/>
      <c r="L199" s="1"/>
      <c r="M199" s="54"/>
      <c r="N199" s="54"/>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row>
    <row r="200" spans="1:84" x14ac:dyDescent="0.25">
      <c r="A200" s="2"/>
      <c r="B200" s="1"/>
      <c r="C200" s="1"/>
      <c r="D200" s="1"/>
      <c r="E200" s="1"/>
      <c r="F200" s="1"/>
      <c r="G200" s="1"/>
      <c r="H200" s="1"/>
      <c r="I200" s="1"/>
      <c r="J200" s="1"/>
      <c r="K200" s="1"/>
      <c r="L200" s="1"/>
      <c r="M200" s="54"/>
      <c r="N200" s="54"/>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row>
    <row r="201" spans="1:84" x14ac:dyDescent="0.25">
      <c r="A201" s="2"/>
      <c r="B201" s="1"/>
      <c r="C201" s="1"/>
      <c r="D201" s="1"/>
      <c r="E201" s="1"/>
      <c r="F201" s="1"/>
      <c r="G201" s="1"/>
      <c r="H201" s="1"/>
      <c r="I201" s="1"/>
      <c r="J201" s="1"/>
      <c r="K201" s="1"/>
      <c r="L201" s="1"/>
      <c r="M201" s="54"/>
      <c r="N201" s="54"/>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row>
    <row r="202" spans="1:84" x14ac:dyDescent="0.25">
      <c r="A202" s="2"/>
      <c r="B202" s="1"/>
      <c r="C202" s="1"/>
      <c r="D202" s="1"/>
      <c r="E202" s="1"/>
      <c r="F202" s="1"/>
      <c r="G202" s="1"/>
      <c r="H202" s="1"/>
      <c r="I202" s="1"/>
      <c r="J202" s="1"/>
      <c r="K202" s="1"/>
      <c r="L202" s="1"/>
      <c r="M202" s="54"/>
      <c r="N202" s="54"/>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row>
    <row r="203" spans="1:84" x14ac:dyDescent="0.25">
      <c r="A203" s="2"/>
      <c r="B203" s="1"/>
      <c r="C203" s="1"/>
      <c r="D203" s="1"/>
      <c r="E203" s="1"/>
      <c r="F203" s="1"/>
      <c r="G203" s="1"/>
      <c r="H203" s="1"/>
      <c r="I203" s="1"/>
      <c r="J203" s="1"/>
      <c r="K203" s="1"/>
      <c r="L203" s="1"/>
      <c r="M203" s="54"/>
      <c r="N203" s="54"/>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row>
    <row r="204" spans="1:84" x14ac:dyDescent="0.25">
      <c r="A204" s="2"/>
      <c r="B204" s="1"/>
      <c r="C204" s="1"/>
      <c r="D204" s="1"/>
      <c r="E204" s="1"/>
      <c r="F204" s="1"/>
      <c r="G204" s="1"/>
      <c r="H204" s="1"/>
      <c r="I204" s="1"/>
      <c r="J204" s="1"/>
      <c r="K204" s="1"/>
      <c r="L204" s="1"/>
      <c r="M204" s="54"/>
      <c r="N204" s="54"/>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row>
    <row r="205" spans="1:84" x14ac:dyDescent="0.25">
      <c r="A205" s="2"/>
      <c r="B205" s="1"/>
      <c r="C205" s="1"/>
      <c r="D205" s="1"/>
      <c r="E205" s="1"/>
      <c r="F205" s="1"/>
      <c r="G205" s="1"/>
      <c r="H205" s="1"/>
      <c r="I205" s="1"/>
      <c r="J205" s="1"/>
      <c r="K205" s="1"/>
      <c r="L205" s="1"/>
      <c r="M205" s="54"/>
      <c r="N205" s="54"/>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row>
    <row r="206" spans="1:84" x14ac:dyDescent="0.25">
      <c r="A206" s="2"/>
      <c r="B206" s="1"/>
      <c r="C206" s="1"/>
      <c r="D206" s="1"/>
      <c r="E206" s="1"/>
      <c r="F206" s="1"/>
      <c r="G206" s="1"/>
      <c r="H206" s="1"/>
      <c r="I206" s="1"/>
      <c r="J206" s="1"/>
      <c r="K206" s="1"/>
      <c r="L206" s="1"/>
      <c r="M206" s="54"/>
      <c r="N206" s="54"/>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row>
    <row r="207" spans="1:84" x14ac:dyDescent="0.25">
      <c r="A207" s="2"/>
      <c r="B207" s="1"/>
      <c r="C207" s="1"/>
      <c r="D207" s="1"/>
      <c r="E207" s="1"/>
      <c r="F207" s="1"/>
      <c r="G207" s="1"/>
      <c r="H207" s="1"/>
      <c r="I207" s="1"/>
      <c r="J207" s="1"/>
      <c r="K207" s="1"/>
      <c r="L207" s="1"/>
      <c r="M207" s="54"/>
      <c r="N207" s="54"/>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row>
    <row r="208" spans="1:84" x14ac:dyDescent="0.25">
      <c r="A208" s="2"/>
      <c r="B208" s="1"/>
      <c r="C208" s="1"/>
      <c r="D208" s="1"/>
      <c r="E208" s="1"/>
      <c r="F208" s="1"/>
      <c r="G208" s="1"/>
      <c r="H208" s="1"/>
      <c r="I208" s="1"/>
      <c r="J208" s="1"/>
      <c r="K208" s="1"/>
      <c r="L208" s="1"/>
      <c r="M208" s="54"/>
      <c r="N208" s="54"/>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row>
    <row r="209" spans="1:84" x14ac:dyDescent="0.25">
      <c r="A209" s="2"/>
      <c r="B209" s="1"/>
      <c r="C209" s="1"/>
      <c r="D209" s="1"/>
      <c r="E209" s="1"/>
      <c r="F209" s="1"/>
      <c r="G209" s="1"/>
      <c r="H209" s="1"/>
      <c r="I209" s="1"/>
      <c r="J209" s="1"/>
      <c r="K209" s="1"/>
      <c r="L209" s="1"/>
      <c r="M209" s="54"/>
      <c r="N209" s="54"/>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row>
    <row r="210" spans="1:84" x14ac:dyDescent="0.25">
      <c r="A210" s="2"/>
      <c r="B210" s="1"/>
      <c r="C210" s="1"/>
      <c r="D210" s="1"/>
      <c r="E210" s="1"/>
      <c r="F210" s="1"/>
      <c r="G210" s="1"/>
      <c r="H210" s="1"/>
      <c r="I210" s="1"/>
      <c r="J210" s="1"/>
      <c r="K210" s="1"/>
      <c r="L210" s="1"/>
      <c r="M210" s="54"/>
      <c r="N210" s="54"/>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row>
    <row r="211" spans="1:84" x14ac:dyDescent="0.25">
      <c r="A211" s="2"/>
      <c r="B211" s="1"/>
      <c r="C211" s="1"/>
      <c r="D211" s="1"/>
      <c r="E211" s="1"/>
      <c r="F211" s="1"/>
      <c r="G211" s="1"/>
      <c r="H211" s="1"/>
      <c r="I211" s="1"/>
      <c r="J211" s="1"/>
      <c r="K211" s="1"/>
      <c r="L211" s="1"/>
      <c r="M211" s="54"/>
      <c r="N211" s="54"/>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row>
    <row r="212" spans="1:84" x14ac:dyDescent="0.25">
      <c r="A212" s="2"/>
      <c r="B212" s="1"/>
      <c r="C212" s="1"/>
      <c r="D212" s="1"/>
      <c r="E212" s="1"/>
      <c r="F212" s="1"/>
      <c r="G212" s="1"/>
      <c r="H212" s="1"/>
      <c r="I212" s="1"/>
      <c r="J212" s="1"/>
      <c r="K212" s="1"/>
      <c r="L212" s="1"/>
      <c r="M212" s="54"/>
      <c r="N212" s="54"/>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row>
    <row r="213" spans="1:84" x14ac:dyDescent="0.25">
      <c r="A213" s="2"/>
      <c r="B213" s="1"/>
      <c r="C213" s="1"/>
      <c r="D213" s="1"/>
      <c r="E213" s="1"/>
      <c r="F213" s="1"/>
      <c r="G213" s="1"/>
      <c r="H213" s="1"/>
      <c r="I213" s="1"/>
      <c r="J213" s="1"/>
      <c r="K213" s="1"/>
      <c r="L213" s="1"/>
      <c r="M213" s="54"/>
      <c r="N213" s="54"/>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row>
    <row r="214" spans="1:84" x14ac:dyDescent="0.25">
      <c r="A214" s="2"/>
      <c r="B214" s="1"/>
      <c r="C214" s="1"/>
      <c r="D214" s="1"/>
      <c r="E214" s="1"/>
      <c r="F214" s="1"/>
      <c r="G214" s="1"/>
      <c r="H214" s="1"/>
      <c r="I214" s="1"/>
      <c r="J214" s="1"/>
      <c r="K214" s="1"/>
      <c r="L214" s="1"/>
      <c r="M214" s="54"/>
      <c r="N214" s="54"/>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row>
    <row r="215" spans="1:84" x14ac:dyDescent="0.25">
      <c r="A215" s="2"/>
      <c r="B215" s="1"/>
      <c r="C215" s="1"/>
      <c r="D215" s="1"/>
      <c r="E215" s="1"/>
      <c r="F215" s="1"/>
      <c r="G215" s="1"/>
      <c r="H215" s="1"/>
      <c r="I215" s="1"/>
      <c r="J215" s="1"/>
      <c r="K215" s="1"/>
      <c r="L215" s="1"/>
      <c r="M215" s="54"/>
      <c r="N215" s="54"/>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row>
    <row r="216" spans="1:84" x14ac:dyDescent="0.25">
      <c r="A216" s="2"/>
      <c r="B216" s="1"/>
      <c r="C216" s="1"/>
      <c r="D216" s="1"/>
      <c r="E216" s="1"/>
      <c r="F216" s="1"/>
      <c r="G216" s="1"/>
      <c r="H216" s="1"/>
      <c r="I216" s="1"/>
      <c r="J216" s="1"/>
      <c r="K216" s="1"/>
      <c r="L216" s="1"/>
      <c r="M216" s="54"/>
      <c r="N216" s="54"/>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row>
    <row r="217" spans="1:84" x14ac:dyDescent="0.25">
      <c r="A217" s="2"/>
      <c r="B217" s="1"/>
      <c r="C217" s="1"/>
      <c r="D217" s="1"/>
      <c r="E217" s="1"/>
      <c r="F217" s="1"/>
      <c r="G217" s="1"/>
      <c r="H217" s="1"/>
      <c r="I217" s="1"/>
      <c r="J217" s="1"/>
      <c r="K217" s="1"/>
      <c r="L217" s="1"/>
      <c r="M217" s="54"/>
      <c r="N217" s="54"/>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row>
    <row r="218" spans="1:84" x14ac:dyDescent="0.25">
      <c r="A218" s="2"/>
      <c r="B218" s="1"/>
      <c r="C218" s="1"/>
      <c r="D218" s="1"/>
      <c r="E218" s="1"/>
      <c r="F218" s="1"/>
      <c r="G218" s="1"/>
      <c r="H218" s="1"/>
      <c r="I218" s="1"/>
      <c r="J218" s="1"/>
      <c r="K218" s="1"/>
      <c r="L218" s="1"/>
      <c r="M218" s="54"/>
      <c r="N218" s="54"/>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row>
    <row r="219" spans="1:84" x14ac:dyDescent="0.25">
      <c r="A219" s="2"/>
      <c r="B219" s="1"/>
      <c r="C219" s="1"/>
      <c r="D219" s="1"/>
      <c r="E219" s="1"/>
      <c r="F219" s="1"/>
      <c r="G219" s="1"/>
      <c r="H219" s="1"/>
      <c r="I219" s="1"/>
      <c r="J219" s="1"/>
      <c r="K219" s="1"/>
      <c r="L219" s="1"/>
      <c r="M219" s="54"/>
      <c r="N219" s="54"/>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row>
    <row r="220" spans="1:84" x14ac:dyDescent="0.25">
      <c r="A220" s="2"/>
      <c r="B220" s="1"/>
      <c r="C220" s="1"/>
      <c r="D220" s="1"/>
      <c r="E220" s="1"/>
      <c r="F220" s="1"/>
      <c r="G220" s="1"/>
      <c r="H220" s="1"/>
      <c r="I220" s="1"/>
      <c r="J220" s="1"/>
      <c r="K220" s="1"/>
      <c r="L220" s="1"/>
      <c r="M220" s="54"/>
      <c r="N220" s="54"/>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row>
    <row r="221" spans="1:84" x14ac:dyDescent="0.25">
      <c r="A221" s="2"/>
      <c r="B221" s="1"/>
      <c r="C221" s="1"/>
      <c r="D221" s="1"/>
      <c r="E221" s="1"/>
      <c r="F221" s="1"/>
      <c r="G221" s="1"/>
      <c r="H221" s="1"/>
      <c r="I221" s="1"/>
      <c r="J221" s="1"/>
      <c r="K221" s="1"/>
      <c r="L221" s="1"/>
      <c r="M221" s="54"/>
      <c r="N221" s="54"/>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row>
    <row r="222" spans="1:84" x14ac:dyDescent="0.25">
      <c r="A222" s="2"/>
      <c r="B222" s="1"/>
      <c r="C222" s="1"/>
      <c r="D222" s="1"/>
      <c r="E222" s="1"/>
      <c r="F222" s="1"/>
      <c r="G222" s="1"/>
      <c r="H222" s="1"/>
      <c r="I222" s="1"/>
      <c r="J222" s="1"/>
      <c r="K222" s="1"/>
      <c r="L222" s="1"/>
      <c r="M222" s="54"/>
      <c r="N222" s="54"/>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row>
    <row r="223" spans="1:84" x14ac:dyDescent="0.25">
      <c r="A223" s="2"/>
      <c r="B223" s="1"/>
      <c r="C223" s="1"/>
      <c r="D223" s="1"/>
      <c r="E223" s="1"/>
      <c r="F223" s="1"/>
      <c r="G223" s="1"/>
      <c r="H223" s="1"/>
      <c r="I223" s="1"/>
      <c r="J223" s="1"/>
      <c r="K223" s="1"/>
      <c r="L223" s="1"/>
      <c r="M223" s="54"/>
      <c r="N223" s="54"/>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row>
    <row r="224" spans="1:84" x14ac:dyDescent="0.25">
      <c r="A224" s="2"/>
      <c r="B224" s="1"/>
      <c r="C224" s="1"/>
      <c r="D224" s="1"/>
      <c r="E224" s="1"/>
      <c r="F224" s="1"/>
      <c r="G224" s="1"/>
      <c r="H224" s="1"/>
      <c r="I224" s="1"/>
      <c r="J224" s="1"/>
      <c r="K224" s="1"/>
      <c r="L224" s="1"/>
      <c r="M224" s="54"/>
      <c r="N224" s="54"/>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row>
    <row r="225" spans="1:84" x14ac:dyDescent="0.25">
      <c r="A225" s="2"/>
      <c r="B225" s="1"/>
      <c r="C225" s="1"/>
      <c r="D225" s="1"/>
      <c r="E225" s="1"/>
      <c r="F225" s="1"/>
      <c r="G225" s="1"/>
      <c r="H225" s="1"/>
      <c r="I225" s="1"/>
      <c r="J225" s="1"/>
      <c r="K225" s="1"/>
      <c r="L225" s="1"/>
      <c r="M225" s="54"/>
      <c r="N225" s="54"/>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row>
    <row r="226" spans="1:84" x14ac:dyDescent="0.25">
      <c r="A226" s="2"/>
      <c r="B226" s="1"/>
      <c r="C226" s="1"/>
      <c r="D226" s="1"/>
      <c r="E226" s="1"/>
      <c r="F226" s="1"/>
      <c r="G226" s="1"/>
      <c r="H226" s="1"/>
      <c r="I226" s="1"/>
      <c r="J226" s="1"/>
      <c r="K226" s="1"/>
      <c r="L226" s="1"/>
      <c r="M226" s="54"/>
      <c r="N226" s="54"/>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row>
    <row r="227" spans="1:84" x14ac:dyDescent="0.25">
      <c r="A227" s="2"/>
      <c r="B227" s="1"/>
      <c r="C227" s="1"/>
      <c r="D227" s="1"/>
      <c r="E227" s="1"/>
      <c r="F227" s="1"/>
      <c r="G227" s="1"/>
      <c r="H227" s="1"/>
      <c r="I227" s="1"/>
      <c r="J227" s="1"/>
      <c r="K227" s="1"/>
      <c r="L227" s="1"/>
      <c r="M227" s="54"/>
      <c r="N227" s="54"/>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row>
    <row r="228" spans="1:84" x14ac:dyDescent="0.25">
      <c r="A228" s="2"/>
      <c r="B228" s="1"/>
      <c r="C228" s="1"/>
      <c r="D228" s="1"/>
      <c r="E228" s="1"/>
      <c r="F228" s="1"/>
      <c r="G228" s="1"/>
      <c r="H228" s="1"/>
      <c r="I228" s="1"/>
      <c r="J228" s="1"/>
      <c r="K228" s="1"/>
      <c r="L228" s="1"/>
      <c r="M228" s="54"/>
      <c r="N228" s="54"/>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row>
    <row r="229" spans="1:84" x14ac:dyDescent="0.25">
      <c r="A229" s="2"/>
      <c r="B229" s="1"/>
      <c r="C229" s="1"/>
      <c r="D229" s="1"/>
      <c r="E229" s="1"/>
      <c r="F229" s="1"/>
      <c r="G229" s="1"/>
      <c r="H229" s="1"/>
      <c r="I229" s="1"/>
      <c r="J229" s="1"/>
      <c r="K229" s="1"/>
      <c r="L229" s="1"/>
      <c r="M229" s="54"/>
      <c r="N229" s="54"/>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row>
    <row r="230" spans="1:84" x14ac:dyDescent="0.25">
      <c r="A230" s="2"/>
      <c r="B230" s="1"/>
      <c r="C230" s="1"/>
      <c r="D230" s="1"/>
      <c r="E230" s="1"/>
      <c r="F230" s="1"/>
      <c r="G230" s="1"/>
      <c r="H230" s="1"/>
      <c r="I230" s="1"/>
      <c r="J230" s="1"/>
      <c r="K230" s="1"/>
      <c r="L230" s="1"/>
      <c r="M230" s="54"/>
      <c r="N230" s="54"/>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row>
    <row r="231" spans="1:84" x14ac:dyDescent="0.25">
      <c r="A231" s="2"/>
      <c r="B231" s="1"/>
      <c r="C231" s="1"/>
      <c r="D231" s="1"/>
      <c r="E231" s="1"/>
      <c r="F231" s="1"/>
      <c r="G231" s="1"/>
      <c r="H231" s="1"/>
      <c r="I231" s="1"/>
      <c r="J231" s="1"/>
      <c r="K231" s="1"/>
      <c r="L231" s="1"/>
      <c r="M231" s="54"/>
      <c r="N231" s="54"/>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row>
    <row r="232" spans="1:84" x14ac:dyDescent="0.25">
      <c r="A232" s="2"/>
      <c r="B232" s="1"/>
      <c r="C232" s="1"/>
      <c r="D232" s="1"/>
      <c r="E232" s="1"/>
      <c r="F232" s="1"/>
      <c r="G232" s="1"/>
      <c r="H232" s="1"/>
      <c r="I232" s="1"/>
      <c r="J232" s="1"/>
      <c r="K232" s="1"/>
      <c r="L232" s="1"/>
      <c r="M232" s="54"/>
      <c r="N232" s="54"/>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row>
    <row r="233" spans="1:84" x14ac:dyDescent="0.25">
      <c r="A233" s="2"/>
      <c r="B233" s="1"/>
      <c r="C233" s="1"/>
      <c r="D233" s="1"/>
      <c r="E233" s="1"/>
      <c r="F233" s="1"/>
      <c r="G233" s="1"/>
      <c r="H233" s="1"/>
      <c r="I233" s="1"/>
      <c r="J233" s="1"/>
      <c r="K233" s="1"/>
      <c r="L233" s="1"/>
      <c r="M233" s="54"/>
      <c r="N233" s="54"/>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row>
    <row r="234" spans="1:84" x14ac:dyDescent="0.25">
      <c r="A234" s="2"/>
      <c r="B234" s="1"/>
      <c r="C234" s="1"/>
      <c r="D234" s="1"/>
      <c r="E234" s="1"/>
      <c r="F234" s="1"/>
      <c r="G234" s="1"/>
      <c r="H234" s="1"/>
      <c r="I234" s="1"/>
      <c r="J234" s="1"/>
      <c r="K234" s="1"/>
      <c r="L234" s="1"/>
      <c r="M234" s="54"/>
      <c r="N234" s="54"/>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row>
    <row r="235" spans="1:84" x14ac:dyDescent="0.25">
      <c r="A235" s="2"/>
      <c r="B235" s="1"/>
      <c r="C235" s="1"/>
      <c r="D235" s="1"/>
      <c r="E235" s="1"/>
      <c r="F235" s="1"/>
      <c r="G235" s="1"/>
      <c r="H235" s="1"/>
      <c r="I235" s="1"/>
      <c r="J235" s="1"/>
      <c r="K235" s="1"/>
      <c r="L235" s="1"/>
      <c r="M235" s="54"/>
      <c r="N235" s="54"/>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row>
    <row r="236" spans="1:84" x14ac:dyDescent="0.25">
      <c r="A236" s="2"/>
      <c r="B236" s="1"/>
      <c r="C236" s="1"/>
      <c r="D236" s="1"/>
      <c r="E236" s="1"/>
      <c r="F236" s="1"/>
      <c r="G236" s="1"/>
      <c r="H236" s="1"/>
      <c r="I236" s="1"/>
      <c r="J236" s="1"/>
      <c r="K236" s="1"/>
      <c r="L236" s="1"/>
      <c r="M236" s="54"/>
      <c r="N236" s="54"/>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row>
  </sheetData>
  <sheetProtection formatCells="0" formatColumns="0" formatRows="0" insertHyperlinks="0" autoFilter="0"/>
  <autoFilter ref="B3:AQ184" xr:uid="{00000000-0009-0000-0000-000002000000}">
    <filterColumn colId="6">
      <filters blank="1">
        <filter val="To be defined"/>
        <filter val="Yes"/>
      </filters>
    </filterColumn>
  </autoFilter>
  <mergeCells count="19">
    <mergeCell ref="BE1:BE2"/>
    <mergeCell ref="AX1:AX2"/>
    <mergeCell ref="BD1:BD2"/>
    <mergeCell ref="AY1:AY2"/>
    <mergeCell ref="AZ1:AZ2"/>
    <mergeCell ref="BA1:BA2"/>
    <mergeCell ref="BB1:BB2"/>
    <mergeCell ref="BC1:BC2"/>
    <mergeCell ref="W2:AQ2"/>
    <mergeCell ref="Q2:T2"/>
    <mergeCell ref="B2:C2"/>
    <mergeCell ref="D2:G2"/>
    <mergeCell ref="AW1:AW2"/>
    <mergeCell ref="B1:C1"/>
    <mergeCell ref="U2:V2"/>
    <mergeCell ref="M2:P2"/>
    <mergeCell ref="M1:Q1"/>
    <mergeCell ref="R1:T1"/>
    <mergeCell ref="H2:L2"/>
  </mergeCells>
  <dataValidations count="2">
    <dataValidation type="list" allowBlank="1" showInputMessage="1" showErrorMessage="1" sqref="I1" xr:uid="{00000000-0002-0000-0200-000000000000}">
      <formula1>"Yes,No"</formula1>
    </dataValidation>
    <dataValidation type="list" allowBlank="1" showInputMessage="1" showErrorMessage="1" sqref="I171 I168 I132:I134 I14:I25 I177:I178 I90:I102 I120:I130 I67:I74 I54 I57:I65 I136:I139 I52 I47 I43:I44 I40:I41 I36:I37 I31:I34 I28:I29 I162:I166 I8:I11 I4:I6 I76:I79 I81:I87 I104:I118 I141:I159" xr:uid="{00000000-0002-0000-0200-000001000000}">
      <formula1>MR_Status</formula1>
    </dataValidation>
  </dataValidations>
  <hyperlinks>
    <hyperlink ref="C10" r:id="rId1" xr:uid="{00000000-0004-0000-0200-000000000000}"/>
    <hyperlink ref="B28" r:id="rId2" xr:uid="{00000000-0004-0000-0200-000001000000}"/>
    <hyperlink ref="B31" r:id="rId3" xr:uid="{00000000-0004-0000-0200-000002000000}"/>
    <hyperlink ref="B32" r:id="rId4" xr:uid="{00000000-0004-0000-0200-000003000000}"/>
    <hyperlink ref="B33" r:id="rId5" xr:uid="{00000000-0004-0000-0200-000004000000}"/>
    <hyperlink ref="B34" r:id="rId6" xr:uid="{00000000-0004-0000-0200-000005000000}"/>
    <hyperlink ref="B10" r:id="rId7" xr:uid="{00000000-0004-0000-0200-000006000000}"/>
    <hyperlink ref="C28" r:id="rId8" xr:uid="{00000000-0004-0000-0200-000007000000}"/>
    <hyperlink ref="C31" r:id="rId9" xr:uid="{00000000-0004-0000-0200-000008000000}"/>
    <hyperlink ref="C32" r:id="rId10" xr:uid="{00000000-0004-0000-0200-000009000000}"/>
    <hyperlink ref="C33" r:id="rId11" xr:uid="{00000000-0004-0000-0200-00000A000000}"/>
    <hyperlink ref="C34" r:id="rId12" xr:uid="{00000000-0004-0000-0200-00000B000000}"/>
    <hyperlink ref="B36:C36" r:id="rId13" display="NFR-2301" xr:uid="{00000000-0004-0000-0200-00000C000000}"/>
    <hyperlink ref="B37:C37" r:id="rId14" display="NFR-2302" xr:uid="{00000000-0004-0000-0200-00000D000000}"/>
    <hyperlink ref="B40:C40" r:id="rId15" display="NFR-3101" xr:uid="{00000000-0004-0000-0200-00000E000000}"/>
    <hyperlink ref="B43:C43" r:id="rId16" display="NFR-3201" xr:uid="{00000000-0004-0000-0200-00000F000000}"/>
    <hyperlink ref="B57:C57" r:id="rId17" display="NFR-5101" xr:uid="{00000000-0004-0000-0200-000010000000}"/>
    <hyperlink ref="B58:C58" r:id="rId18" display="NFR-5102" xr:uid="{00000000-0004-0000-0200-000011000000}"/>
    <hyperlink ref="B59:C59" r:id="rId19" display="NFR-5103" xr:uid="{00000000-0004-0000-0200-000012000000}"/>
    <hyperlink ref="B60:C60" r:id="rId20" display="NFR-5104" xr:uid="{00000000-0004-0000-0200-000013000000}"/>
    <hyperlink ref="B61:C61" r:id="rId21" display="NFR-5105" xr:uid="{00000000-0004-0000-0200-000014000000}"/>
    <hyperlink ref="B62:C62" r:id="rId22" display="NFR-5106a" xr:uid="{00000000-0004-0000-0200-000015000000}"/>
    <hyperlink ref="B63:C63" r:id="rId23" display="NFR-5106b" xr:uid="{00000000-0004-0000-0200-000016000000}"/>
    <hyperlink ref="B64:C64" r:id="rId24" display="NFR-5107" xr:uid="{00000000-0004-0000-0200-000017000000}"/>
    <hyperlink ref="B67:C67" r:id="rId25" display="NFR-5201" xr:uid="{00000000-0004-0000-0200-000018000000}"/>
    <hyperlink ref="B68:C68" r:id="rId26" display="NFR-5202" xr:uid="{00000000-0004-0000-0200-000019000000}"/>
    <hyperlink ref="B69:C69" r:id="rId27" display="NFR-5203a" xr:uid="{00000000-0004-0000-0200-00001A000000}"/>
    <hyperlink ref="B70:C72" r:id="rId28" display="NFR-5203b" xr:uid="{00000000-0004-0000-0200-00001B000000}"/>
    <hyperlink ref="B73:C73" r:id="rId29" display="NFR-5204" xr:uid="{00000000-0004-0000-0200-00001C000000}"/>
    <hyperlink ref="B74:C74" r:id="rId30" display="NFR-5205" xr:uid="{00000000-0004-0000-0200-00001D000000}"/>
    <hyperlink ref="B76:C76" r:id="rId31" display="NFR-5301" xr:uid="{00000000-0004-0000-0200-00001E000000}"/>
    <hyperlink ref="B77:C77" r:id="rId32" display="NFR-5302" xr:uid="{00000000-0004-0000-0200-00001F000000}"/>
    <hyperlink ref="B78:C78" r:id="rId33" display="NFR-5303" xr:uid="{00000000-0004-0000-0200-000020000000}"/>
    <hyperlink ref="B79:C79" r:id="rId34" display="NFR-5304" xr:uid="{00000000-0004-0000-0200-000021000000}"/>
    <hyperlink ref="B81:C81" r:id="rId35" display="NFR-5401" xr:uid="{00000000-0004-0000-0200-000022000000}"/>
    <hyperlink ref="B82:C82" r:id="rId36" display="NFR-5402" xr:uid="{00000000-0004-0000-0200-000023000000}"/>
    <hyperlink ref="B83:C83" r:id="rId37" display="NFR-5403" xr:uid="{00000000-0004-0000-0200-000024000000}"/>
    <hyperlink ref="B84:C87" r:id="rId38" display="NFR-5404a" xr:uid="{00000000-0004-0000-0200-000025000000}"/>
    <hyperlink ref="B90:C90" r:id="rId39" display="NFR-6001" xr:uid="{00000000-0004-0000-0200-000026000000}"/>
    <hyperlink ref="B91:C91" r:id="rId40" display="NFR-6002" xr:uid="{00000000-0004-0000-0200-000027000000}"/>
    <hyperlink ref="B92:C94" r:id="rId41" display="NFR-6003a" xr:uid="{00000000-0004-0000-0200-000028000000}"/>
    <hyperlink ref="B95:C98" r:id="rId42" display="NFR-6004a" xr:uid="{00000000-0004-0000-0200-000029000000}"/>
    <hyperlink ref="B17:C17" r:id="rId43" display="NFR-1404" xr:uid="{00000000-0004-0000-0200-00002A000000}"/>
    <hyperlink ref="B99:C99" r:id="rId44" display="NFR-6006" xr:uid="{00000000-0004-0000-0200-00002B000000}"/>
    <hyperlink ref="B104:C104" r:id="rId45" display="NFR-6101" xr:uid="{00000000-0004-0000-0200-00002C000000}"/>
    <hyperlink ref="B105:C105" r:id="rId46" display="NFR-6104" xr:uid="{00000000-0004-0000-0200-00002F000000}"/>
    <hyperlink ref="B106:C106" r:id="rId47" display="NFR-6105" xr:uid="{00000000-0004-0000-0200-000030000000}"/>
    <hyperlink ref="B107:C107" r:id="rId48" display="NFR-6106" xr:uid="{00000000-0004-0000-0200-000031000000}"/>
    <hyperlink ref="B108:C108" r:id="rId49" display="NFR-6107" xr:uid="{00000000-0004-0000-0200-000032000000}"/>
    <hyperlink ref="B109:C109" r:id="rId50" display="NFR-6108" xr:uid="{00000000-0004-0000-0200-000033000000}"/>
    <hyperlink ref="B110:C110" r:id="rId51" display="NFR-6109" xr:uid="{00000000-0004-0000-0200-000034000000}"/>
    <hyperlink ref="B111:C111" r:id="rId52" display="NFR-6110" xr:uid="{00000000-0004-0000-0200-000035000000}"/>
    <hyperlink ref="B112:C112" r:id="rId53" display="NFR-6111" xr:uid="{00000000-0004-0000-0200-000036000000}"/>
    <hyperlink ref="B113:C113" r:id="rId54" display="NFR-6112" xr:uid="{00000000-0004-0000-0200-000037000000}"/>
    <hyperlink ref="B114:C114" r:id="rId55" display="NFR-6113" xr:uid="{00000000-0004-0000-0200-000038000000}"/>
    <hyperlink ref="B115:C116" r:id="rId56" display="NFR-6114a" xr:uid="{00000000-0004-0000-0200-000039000000}"/>
    <hyperlink ref="B117:C117" r:id="rId57" display="NFR-6115" xr:uid="{00000000-0004-0000-0200-00003A000000}"/>
    <hyperlink ref="B120:C120" r:id="rId58" display="NFR-6201" xr:uid="{00000000-0004-0000-0200-00003B000000}"/>
    <hyperlink ref="B121:C121" r:id="rId59" display="NFR-6202" xr:uid="{00000000-0004-0000-0200-00003C000000}"/>
    <hyperlink ref="B122:C122" r:id="rId60" display="NFR-6203" xr:uid="{00000000-0004-0000-0200-00003D000000}"/>
    <hyperlink ref="B123:C123" r:id="rId61" display="NFR-6204" xr:uid="{00000000-0004-0000-0200-00003E000000}"/>
    <hyperlink ref="B124:C125" r:id="rId62" display="NFR-6205a" xr:uid="{00000000-0004-0000-0200-00003F000000}"/>
    <hyperlink ref="B126:C126" r:id="rId63" display="NFR-6206" xr:uid="{00000000-0004-0000-0200-000040000000}"/>
    <hyperlink ref="B127:C127" r:id="rId64" display="NFR-6207" xr:uid="{00000000-0004-0000-0200-000041000000}"/>
    <hyperlink ref="B128:C128" r:id="rId65" display="NFR-6301" xr:uid="{00000000-0004-0000-0200-000042000000}"/>
    <hyperlink ref="B132:C132" r:id="rId66" display="NFR-6301" xr:uid="{00000000-0004-0000-0200-000043000000}"/>
    <hyperlink ref="B136:C136" r:id="rId67" display="NFR-6401" xr:uid="{00000000-0004-0000-0200-000044000000}"/>
    <hyperlink ref="B137:C137" r:id="rId68" display="NFR-6402" xr:uid="{00000000-0004-0000-0200-000045000000}"/>
    <hyperlink ref="B138:C138" r:id="rId69" display="NFR-6403" xr:uid="{00000000-0004-0000-0200-000046000000}"/>
    <hyperlink ref="B141:C141" r:id="rId70" display="NFR-6501" xr:uid="{00000000-0004-0000-0200-000047000000}"/>
    <hyperlink ref="B142:C142" r:id="rId71" display="NFR-6502" xr:uid="{00000000-0004-0000-0200-000048000000}"/>
    <hyperlink ref="B143:C143" r:id="rId72" display="NFR-6503" xr:uid="{00000000-0004-0000-0200-000049000000}"/>
    <hyperlink ref="B144:C146" r:id="rId73" display="NFR-6504a" xr:uid="{00000000-0004-0000-0200-00004A000000}"/>
    <hyperlink ref="B147:C148" r:id="rId74" display="NFR-6505a" xr:uid="{00000000-0004-0000-0200-00004B000000}"/>
    <hyperlink ref="B150:C150" r:id="rId75" display="NFR-6506" xr:uid="{00000000-0004-0000-0200-00004C000000}"/>
    <hyperlink ref="B151:C156" r:id="rId76" display="NFR-6507a" xr:uid="{00000000-0004-0000-0200-00004D000000}"/>
    <hyperlink ref="B162:C162" r:id="rId77" display="NFR-7001" xr:uid="{00000000-0004-0000-0200-00004E000000}"/>
    <hyperlink ref="B163:C163" r:id="rId78" display="NFR-7002" xr:uid="{00000000-0004-0000-0200-00004F000000}"/>
    <hyperlink ref="B164:C164" r:id="rId79" display="NFR-7003" xr:uid="{00000000-0004-0000-0200-000050000000}"/>
    <hyperlink ref="B168:C168" r:id="rId80" display="NFR-7101" xr:uid="{00000000-0004-0000-0200-000051000000}"/>
    <hyperlink ref="B171:C171" r:id="rId81" display="NFR-7301" xr:uid="{00000000-0004-0000-0200-000052000000}"/>
    <hyperlink ref="B177:C177" r:id="rId82" display="NFR-8201" xr:uid="{00000000-0004-0000-0200-000053000000}"/>
    <hyperlink ref="B10:C10" r:id="rId83" display="NFR-1203" xr:uid="{00000000-0004-0000-0200-000054000000}"/>
    <hyperlink ref="B9:C9" r:id="rId84" display="NFR-1202" xr:uid="{00000000-0004-0000-0200-000055000000}"/>
    <hyperlink ref="B28:C28" r:id="rId85" display="NFR-2101" xr:uid="{00000000-0004-0000-0200-000056000000}"/>
    <hyperlink ref="B31:C31" r:id="rId86" display="NFR-2201" xr:uid="{00000000-0004-0000-0200-000057000000}"/>
    <hyperlink ref="B33:C33" r:id="rId87" display="NFR-2203" xr:uid="{00000000-0004-0000-0200-000058000000}"/>
    <hyperlink ref="B34:C34" r:id="rId88" display="NFR-2204" xr:uid="{00000000-0004-0000-0200-000059000000}"/>
    <hyperlink ref="C63" r:id="rId89" xr:uid="{00000000-0004-0000-0200-00005A000000}"/>
    <hyperlink ref="B62:C63" r:id="rId90" display="NFR-5106a" xr:uid="{00000000-0004-0000-0200-00005B000000}"/>
    <hyperlink ref="B69:C72" r:id="rId91" display="NFR-5203a" xr:uid="{00000000-0004-0000-0200-00005C000000}"/>
    <hyperlink ref="B127:C128" r:id="rId92" display="NFR-6207a" xr:uid="{00000000-0004-0000-0200-00005D000000}"/>
    <hyperlink ref="B44:C44" r:id="rId93" display="NFR-3202" xr:uid="{00000000-0004-0000-0200-00005E000000}"/>
    <hyperlink ref="B41:C41" r:id="rId94" display="NFR-3102" xr:uid="{00000000-0004-0000-0200-00005F000000}"/>
    <hyperlink ref="B14:C14" r:id="rId95" display="NFR-1401" xr:uid="{00000000-0004-0000-0200-000060000000}"/>
    <hyperlink ref="B15:C15" r:id="rId96" display="NFR-1402" xr:uid="{00000000-0004-0000-0200-000061000000}"/>
    <hyperlink ref="B16:C16" r:id="rId97" display="NFR-1403" xr:uid="{00000000-0004-0000-0200-000062000000}"/>
    <hyperlink ref="B18:C18" r:id="rId98" display="NFR-1405" xr:uid="{00000000-0004-0000-0200-000063000000}"/>
    <hyperlink ref="B19:C19" r:id="rId99" display="NFR-1406" xr:uid="{00000000-0004-0000-0200-000064000000}"/>
    <hyperlink ref="B20:C20" r:id="rId100" display="NFR-1407" xr:uid="{00000000-0004-0000-0200-000065000000}"/>
    <hyperlink ref="B65:C65" r:id="rId101" display="NFR-5108" xr:uid="{00000000-0004-0000-0200-000066000000}"/>
    <hyperlink ref="B32:C32" r:id="rId102" display="NFR-2202" xr:uid="{00000000-0004-0000-0200-000067000000}"/>
    <hyperlink ref="B11:C11" r:id="rId103" display="NFR-1204" xr:uid="{00000000-0004-0000-0200-000068000000}"/>
    <hyperlink ref="B100:C100" r:id="rId104" display="NFR-6007" xr:uid="{00000000-0004-0000-0200-000069000000}"/>
    <hyperlink ref="C8" r:id="rId105" xr:uid="{00000000-0004-0000-0200-00006A000000}"/>
    <hyperlink ref="B8:C8" r:id="rId106" display="NFR-1201" xr:uid="{00000000-0004-0000-0200-00006B000000}"/>
    <hyperlink ref="B6:C6" r:id="rId107" display="NFR-1101" xr:uid="{00000000-0004-0000-0200-00006C000000}"/>
    <hyperlink ref="B29:C29" r:id="rId108" display="NFR-2102" xr:uid="{00000000-0004-0000-0200-00006D000000}"/>
    <hyperlink ref="B47:C47" r:id="rId109" display="NFR-4101" xr:uid="{00000000-0004-0000-0200-00006E000000}"/>
    <hyperlink ref="B52:C52" r:id="rId110" display="NFR-4501" xr:uid="{00000000-0004-0000-0200-00006F000000}"/>
    <hyperlink ref="B54:C54" r:id="rId111" display="NFR-4601" xr:uid="{00000000-0004-0000-0200-000070000000}"/>
    <hyperlink ref="C15" r:id="rId112" xr:uid="{00000000-0004-0000-0200-000071000000}"/>
    <hyperlink ref="B133:C133" r:id="rId113" display="NFR-6302" xr:uid="{00000000-0004-0000-0200-000072000000}"/>
    <hyperlink ref="C153" r:id="rId114" display="The system uses &quot;Standard_ADM&quot; method to authenticate functional or technical administrators" xr:uid="{00000000-0004-0000-0200-000073000000}"/>
    <hyperlink ref="C154" r:id="rId115" display="The system uses “Reinforced” method to authenticate functional or technical administrators" xr:uid="{00000000-0004-0000-0200-000074000000}"/>
    <hyperlink ref="B151:C157" r:id="rId116" display="NFR-6507a" xr:uid="{00000000-0004-0000-0200-000075000000}"/>
    <hyperlink ref="B165:C165" r:id="rId117" display="NFR-7004" xr:uid="{E65F3DE4-0082-4CF7-9830-D0FF950FFD1C}"/>
    <hyperlink ref="C165" r:id="rId118" display="The development quality acceptance criteria (evaluated by the qualimetric platform) must be respected" xr:uid="{B9078D59-8D10-4A5F-B2F5-00C36B332ECF}"/>
    <hyperlink ref="B101:C101" r:id="rId119" display="NFR-6008" xr:uid="{52358957-77C5-4AE1-A46B-949AC3653859}"/>
    <hyperlink ref="B102:C102" r:id="rId120" display="NFR-6009" xr:uid="{7AB5C636-BA47-4B77-A057-8009708D9FF6}"/>
    <hyperlink ref="B118:C118" r:id="rId121" display="NFR-6117" xr:uid="{95DA5B9F-4E56-4A82-8F6C-0122BA438DAD}"/>
    <hyperlink ref="B129:C129" r:id="rId122" display="NFR-6208" xr:uid="{12501372-CF05-477B-992E-7A69940F8F10}"/>
    <hyperlink ref="B139:C139" r:id="rId123" display="NFR-6404" xr:uid="{F6DBB90F-E17C-4409-893E-E09129FDB859}"/>
    <hyperlink ref="B149:C149" r:id="rId124" display="NFR-6505c" xr:uid="{0F5D67F4-D77B-496A-92DE-753E53AC8410}"/>
    <hyperlink ref="B130:C130" r:id="rId125" display="NFR-6209" xr:uid="{83D2E797-794F-4F9F-B063-0559FAC15034}"/>
    <hyperlink ref="B124:C124" r:id="rId126" display="NFR-6205a" xr:uid="{FE558D36-0E4F-4AAF-AC73-5D4D132061AA}"/>
    <hyperlink ref="B147:C149" r:id="rId127" display="NFR-6505a" xr:uid="{F3ABE534-A26D-4C3B-88B8-D0DBDD0E8DC6}"/>
    <hyperlink ref="B166:C166" r:id="rId128" display="NFR-7005" xr:uid="{EDDCEEC9-842E-4018-B9D8-DCEAD26D2A94}"/>
    <hyperlink ref="B21:C22" r:id="rId129" display="NFR-1408a" xr:uid="{DCD55882-0E71-4A47-81FB-D695CD67EE0D}"/>
    <hyperlink ref="B23:C23" r:id="rId130" display="NFR-1409" xr:uid="{289991D2-FD40-4797-B654-118B0CDF3D19}"/>
    <hyperlink ref="C99" r:id="rId131" xr:uid="{2D1A7A3C-47DD-497F-B352-E08FB1FCCC70}"/>
    <hyperlink ref="B24:C24" r:id="rId132" display="NFR-1409" xr:uid="{6697B088-0CFA-4E36-800F-819FF4ACCA66}"/>
    <hyperlink ref="C24" r:id="rId133" xr:uid="{C3B70DBF-9376-4559-9F28-E6C53AEC8DDF}"/>
    <hyperlink ref="B24" r:id="rId134" xr:uid="{7005A652-9752-4916-84A2-00EE0CE0BD3A}"/>
    <hyperlink ref="B25:C25" r:id="rId135" display="NFR-1411" xr:uid="{DA60D79F-77A7-4845-A401-F02B93EBAADE}"/>
    <hyperlink ref="B134:C134" r:id="rId136" display="NFR-6303" xr:uid="{B73C6D36-B50E-430D-992A-ACCEC5BF8E17}"/>
    <hyperlink ref="B158:C158" r:id="rId137" display="NFR-6508" xr:uid="{429E41AB-E463-47A0-A0B9-3B38AB2822A3}"/>
    <hyperlink ref="B159:C159" r:id="rId138" display="NFR-6509" xr:uid="{284C53C7-7841-4AA1-9BC1-E622049F5B14}"/>
  </hyperlinks>
  <pageMargins left="0.7" right="0.7" top="0.75" bottom="0.75" header="0.3" footer="0.3"/>
  <pageSetup paperSize="9" orientation="portrait" r:id="rId139"/>
  <ignoredErrors>
    <ignoredError sqref="AX135:AX138 AX160:AX166 AX4:AX23 AX26:AX102 AX140:AX154 AX105:AX117 AX103:AX104 AX118:AX133 AX156:AX157 AX155 AX174:AX178 AX167:AX173" formula="1"/>
  </ignoredErrors>
  <legacyDrawing r:id="rId140"/>
  <extLst>
    <ext xmlns:x14="http://schemas.microsoft.com/office/spreadsheetml/2009/9/main" uri="{78C0D931-6437-407d-A8EE-F0AAD7539E65}">
      <x14:conditionalFormattings>
        <x14:conditionalFormatting xmlns:xm="http://schemas.microsoft.com/office/excel/2006/main">
          <x14:cfRule type="expression" priority="84" stopIfTrue="1" id="{15C8A81C-25F5-4918-80D9-F0BD856AEE55}">
            <xm:f>IF(AND($I4=Params!$B$8,$H4=Params!$I$4),1,0)</xm:f>
            <x14:dxf>
              <fill>
                <patternFill>
                  <bgColor theme="0" tint="-0.14996795556505021"/>
                </patternFill>
              </fill>
            </x14:dxf>
          </x14:cfRule>
          <xm:sqref>B133 B4:AQ24 D133:AQ134 B26:AQ132 B135:AQ157 B160:AQ178 D25:AQ25 D158:AQ159</xm:sqref>
        </x14:conditionalFormatting>
        <x14:conditionalFormatting xmlns:xm="http://schemas.microsoft.com/office/excel/2006/main">
          <x14:cfRule type="expression" priority="85" stopIfTrue="1" id="{64449DF0-3A24-48E6-8C18-9ED807C0F06A}">
            <xm:f>IF(AND($I4=Params!$B$3,$H4=Params!$I$3),1,0)</xm:f>
            <x14:dxf>
              <fill>
                <patternFill>
                  <bgColor theme="7" tint="0.59996337778862885"/>
                </patternFill>
              </fill>
            </x14:dxf>
          </x14:cfRule>
          <x14:cfRule type="expression" priority="86" stopIfTrue="1" id="{082379FE-EAE9-47E8-BDB8-1E5833AF81F8}">
            <xm:f>IF(AND($I4=Params!$B$6,$H4=Params!$I$3),1,0)</xm:f>
            <x14:dxf>
              <fill>
                <patternFill>
                  <bgColor rgb="FF00FF00"/>
                </patternFill>
              </fill>
            </x14:dxf>
          </x14:cfRule>
          <x14:cfRule type="expression" priority="88" stopIfTrue="1" id="{29B86F3F-BE63-4E84-8081-31DCC7CD24C5}">
            <xm:f>IF(AND($I4=Params!$B$5,$H4=Params!$I$3),1,0)</xm:f>
            <x14:dxf>
              <fill>
                <patternFill>
                  <bgColor rgb="FFB4FF00"/>
                </patternFill>
              </fill>
            </x14:dxf>
          </x14:cfRule>
          <x14:cfRule type="expression" priority="89" stopIfTrue="1" id="{5AD09664-98AB-4BB8-84B2-9CBF98043B5A}">
            <xm:f>IF(AND($I4=Params!$B$8,$H4=Params!$I$3),1,0)</xm:f>
            <x14:dxf>
              <fill>
                <patternFill>
                  <bgColor rgb="FFFFC000"/>
                </patternFill>
              </fill>
            </x14:dxf>
          </x14:cfRule>
          <x14:cfRule type="expression" priority="90" stopIfTrue="1" id="{F158876F-A971-41BC-89B9-AF55B5C2565F}">
            <xm:f>IF(AND($I4=Params!$B$4,$H4=Params!$I$3),1,0)</xm:f>
            <x14:dxf>
              <fill>
                <patternFill>
                  <bgColor rgb="FFFFFF00"/>
                </patternFill>
              </fill>
            </x14:dxf>
          </x14:cfRule>
          <x14:cfRule type="expression" priority="91" stopIfTrue="1" id="{B9FE2D63-EE1F-4767-AE8B-E1D32C7CDF89}">
            <xm:f>IF(AND($I4=Params!$B$7,$H4=Params!$I$3),1,0)</xm:f>
            <x14:dxf>
              <font>
                <b/>
                <i val="0"/>
                <color theme="0"/>
              </font>
              <fill>
                <patternFill>
                  <bgColor rgb="FFFF0000"/>
                </patternFill>
              </fill>
            </x14:dxf>
          </x14:cfRule>
          <xm:sqref>B4:B23 H4:I23 H26:I133 B26:B133 B135:B157 H135:I157 H160:I178 B160:B178</xm:sqref>
        </x14:conditionalFormatting>
        <x14:conditionalFormatting xmlns:xm="http://schemas.microsoft.com/office/excel/2006/main">
          <x14:cfRule type="expression" priority="78" stopIfTrue="1" id="{974AEEBD-4E85-4B66-8D7E-D62D1931D162}">
            <xm:f>IF(AND($I24=Params!$B$3,$H24=Params!$I$3),1,0)</xm:f>
            <x14:dxf>
              <fill>
                <patternFill>
                  <bgColor theme="7" tint="0.59996337778862885"/>
                </patternFill>
              </fill>
            </x14:dxf>
          </x14:cfRule>
          <x14:cfRule type="expression" priority="79" stopIfTrue="1" id="{089CA9F4-F3F4-47ED-84E0-B1EC86E2533A}">
            <xm:f>IF(AND($I24=Params!$B$6,$H24=Params!$I$3),1,0)</xm:f>
            <x14:dxf>
              <fill>
                <patternFill>
                  <bgColor rgb="FF00FF00"/>
                </patternFill>
              </fill>
            </x14:dxf>
          </x14:cfRule>
          <x14:cfRule type="expression" priority="80" stopIfTrue="1" id="{27D4DA3D-8D77-45C9-8541-620F832C1F28}">
            <xm:f>IF(AND($I24=Params!$B$5,$H24=Params!$I$3),1,0)</xm:f>
            <x14:dxf>
              <fill>
                <patternFill>
                  <bgColor rgb="FFB4FF00"/>
                </patternFill>
              </fill>
            </x14:dxf>
          </x14:cfRule>
          <x14:cfRule type="expression" priority="81" stopIfTrue="1" id="{FFC7BCF5-9509-4F4C-84C5-04AFB79E982C}">
            <xm:f>IF(AND($I24=Params!$B$8,$H24=Params!$I$3),1,0)</xm:f>
            <x14:dxf>
              <fill>
                <patternFill>
                  <bgColor rgb="FFFFC000"/>
                </patternFill>
              </fill>
            </x14:dxf>
          </x14:cfRule>
          <x14:cfRule type="expression" priority="82" stopIfTrue="1" id="{BF67B01B-9432-49D3-9D31-CCC5C56CB32F}">
            <xm:f>IF(AND($I24=Params!$B$4,$H24=Params!$I$3),1,0)</xm:f>
            <x14:dxf>
              <fill>
                <patternFill>
                  <bgColor rgb="FFFFFF00"/>
                </patternFill>
              </fill>
            </x14:dxf>
          </x14:cfRule>
          <x14:cfRule type="expression" priority="83" stopIfTrue="1" id="{6C798F11-4535-4653-83CC-DEADAD906C65}">
            <xm:f>IF(AND($I24=Params!$B$7,$H24=Params!$I$3),1,0)</xm:f>
            <x14:dxf>
              <font>
                <b/>
                <i val="0"/>
                <color theme="0"/>
              </font>
              <fill>
                <patternFill>
                  <bgColor rgb="FFFF0000"/>
                </patternFill>
              </fill>
            </x14:dxf>
          </x14:cfRule>
          <xm:sqref>B24 H24:I24</xm:sqref>
        </x14:conditionalFormatting>
        <x14:conditionalFormatting xmlns:xm="http://schemas.microsoft.com/office/excel/2006/main">
          <x14:cfRule type="expression" priority="71" stopIfTrue="1" id="{2B81DB2E-6780-4C87-A84B-63142FDCF5B0}">
            <xm:f>IF(AND($I25=Params!$B$3,$H25=Params!$I$3),1,0)</xm:f>
            <x14:dxf>
              <fill>
                <patternFill>
                  <bgColor theme="7" tint="0.59996337778862885"/>
                </patternFill>
              </fill>
            </x14:dxf>
          </x14:cfRule>
          <x14:cfRule type="expression" priority="72" stopIfTrue="1" id="{2D9960E4-B3D8-45B6-98DC-85DD9C92A85F}">
            <xm:f>IF(AND($I25=Params!$B$6,$H25=Params!$I$3),1,0)</xm:f>
            <x14:dxf>
              <fill>
                <patternFill>
                  <bgColor rgb="FF00FF00"/>
                </patternFill>
              </fill>
            </x14:dxf>
          </x14:cfRule>
          <x14:cfRule type="expression" priority="73" stopIfTrue="1" id="{F7C21C55-EAAB-4072-8635-B4047A1DFF3A}">
            <xm:f>IF(AND($I25=Params!$B$5,$H25=Params!$I$3),1,0)</xm:f>
            <x14:dxf>
              <fill>
                <patternFill>
                  <bgColor rgb="FFB4FF00"/>
                </patternFill>
              </fill>
            </x14:dxf>
          </x14:cfRule>
          <x14:cfRule type="expression" priority="74" stopIfTrue="1" id="{C365F5B6-08A3-4861-8B9B-A64B3C8561C5}">
            <xm:f>IF(AND($I25=Params!$B$8,$H25=Params!$I$3),1,0)</xm:f>
            <x14:dxf>
              <fill>
                <patternFill>
                  <bgColor rgb="FFFFC000"/>
                </patternFill>
              </fill>
            </x14:dxf>
          </x14:cfRule>
          <x14:cfRule type="expression" priority="75" stopIfTrue="1" id="{6A089661-9C55-4CEC-A0A7-B1C356741C32}">
            <xm:f>IF(AND($I25=Params!$B$4,$H25=Params!$I$3),1,0)</xm:f>
            <x14:dxf>
              <fill>
                <patternFill>
                  <bgColor rgb="FFFFFF00"/>
                </patternFill>
              </fill>
            </x14:dxf>
          </x14:cfRule>
          <x14:cfRule type="expression" priority="76" stopIfTrue="1" id="{1E71229B-3ED6-4DCE-B05B-7E77B795EBAD}">
            <xm:f>IF(AND($I25=Params!$B$7,$H25=Params!$I$3),1,0)</xm:f>
            <x14:dxf>
              <font>
                <b/>
                <i val="0"/>
                <color theme="0"/>
              </font>
              <fill>
                <patternFill>
                  <bgColor rgb="FFFF0000"/>
                </patternFill>
              </fill>
            </x14:dxf>
          </x14:cfRule>
          <xm:sqref>H25:I25</xm:sqref>
        </x14:conditionalFormatting>
        <x14:conditionalFormatting xmlns:xm="http://schemas.microsoft.com/office/excel/2006/main">
          <x14:cfRule type="expression" priority="63" stopIfTrue="1" id="{37B01B1E-B6FD-470E-AD06-4E93951153F1}">
            <xm:f>IF(AND($I25=Params!$B$8,$H25=Params!$I$4),1,0)</xm:f>
            <x14:dxf>
              <fill>
                <patternFill>
                  <bgColor theme="0" tint="-0.14996795556505021"/>
                </patternFill>
              </fill>
            </x14:dxf>
          </x14:cfRule>
          <xm:sqref>B25</xm:sqref>
        </x14:conditionalFormatting>
        <x14:conditionalFormatting xmlns:xm="http://schemas.microsoft.com/office/excel/2006/main">
          <x14:cfRule type="expression" priority="64" stopIfTrue="1" id="{C9441A25-6CAA-45FC-964E-972F740F6502}">
            <xm:f>IF(AND($I25=Params!$B$3,$H25=Params!$I$3),1,0)</xm:f>
            <x14:dxf>
              <fill>
                <patternFill>
                  <bgColor theme="7" tint="0.59996337778862885"/>
                </patternFill>
              </fill>
            </x14:dxf>
          </x14:cfRule>
          <x14:cfRule type="expression" priority="65" stopIfTrue="1" id="{FF3F13B0-183B-4C9A-857E-EE2674734199}">
            <xm:f>IF(AND($I25=Params!$B$6,$H25=Params!$I$3),1,0)</xm:f>
            <x14:dxf>
              <fill>
                <patternFill>
                  <bgColor rgb="FF00FF00"/>
                </patternFill>
              </fill>
            </x14:dxf>
          </x14:cfRule>
          <x14:cfRule type="expression" priority="66" stopIfTrue="1" id="{37F334C1-907F-4A43-AC5C-F3B62867A27E}">
            <xm:f>IF(AND($I25=Params!$B$5,$H25=Params!$I$3),1,0)</xm:f>
            <x14:dxf>
              <fill>
                <patternFill>
                  <bgColor rgb="FFB4FF00"/>
                </patternFill>
              </fill>
            </x14:dxf>
          </x14:cfRule>
          <x14:cfRule type="expression" priority="67" stopIfTrue="1" id="{5EFAD1BA-EF59-48EC-881C-1730C7A4ACCB}">
            <xm:f>IF(AND($I25=Params!$B$8,$H25=Params!$I$3),1,0)</xm:f>
            <x14:dxf>
              <fill>
                <patternFill>
                  <bgColor rgb="FFFFC000"/>
                </patternFill>
              </fill>
            </x14:dxf>
          </x14:cfRule>
          <x14:cfRule type="expression" priority="68" stopIfTrue="1" id="{B0B136D7-4E7E-45E7-9975-C7A3B7863607}">
            <xm:f>IF(AND($I25=Params!$B$4,$H25=Params!$I$3),1,0)</xm:f>
            <x14:dxf>
              <fill>
                <patternFill>
                  <bgColor rgb="FFFFFF00"/>
                </patternFill>
              </fill>
            </x14:dxf>
          </x14:cfRule>
          <x14:cfRule type="expression" priority="69" stopIfTrue="1" id="{2C5C5A65-5BA8-4882-B3AF-07A49B980D60}">
            <xm:f>IF(AND($I25=Params!$B$7,$H25=Params!$I$3),1,0)</xm:f>
            <x14:dxf>
              <font>
                <b/>
                <i val="0"/>
                <color theme="0"/>
              </font>
              <fill>
                <patternFill>
                  <bgColor rgb="FFFF0000"/>
                </patternFill>
              </fill>
            </x14:dxf>
          </x14:cfRule>
          <xm:sqref>B25</xm:sqref>
        </x14:conditionalFormatting>
        <x14:conditionalFormatting xmlns:xm="http://schemas.microsoft.com/office/excel/2006/main">
          <x14:cfRule type="expression" priority="62" stopIfTrue="1" id="{88371148-F7D1-4D23-8766-792497CE1E2D}">
            <xm:f>IF(AND($I25=Params!$B$8,$H25=Params!$I$4),1,0)</xm:f>
            <x14:dxf>
              <fill>
                <patternFill>
                  <bgColor theme="0" tint="-0.14996795556505021"/>
                </patternFill>
              </fill>
            </x14:dxf>
          </x14:cfRule>
          <xm:sqref>C25</xm:sqref>
        </x14:conditionalFormatting>
        <x14:conditionalFormatting xmlns:xm="http://schemas.microsoft.com/office/excel/2006/main">
          <x14:cfRule type="expression" priority="56" stopIfTrue="1" id="{C49278AE-5B07-4FA2-84E5-787E9CB1CBDA}">
            <xm:f>IF(AND($I134=Params!$B$3,$H134=Params!$I$3),1,0)</xm:f>
            <x14:dxf>
              <fill>
                <patternFill>
                  <bgColor theme="7" tint="0.59996337778862885"/>
                </patternFill>
              </fill>
            </x14:dxf>
          </x14:cfRule>
          <x14:cfRule type="expression" priority="57" stopIfTrue="1" id="{BE767B60-D0D8-42D0-B0EE-249BA55D4956}">
            <xm:f>IF(AND($I134=Params!$B$6,$H134=Params!$I$3),1,0)</xm:f>
            <x14:dxf>
              <fill>
                <patternFill>
                  <bgColor rgb="FF00FF00"/>
                </patternFill>
              </fill>
            </x14:dxf>
          </x14:cfRule>
          <x14:cfRule type="expression" priority="58" stopIfTrue="1" id="{752B2086-D334-4BFA-9334-91AF87A5C0C2}">
            <xm:f>IF(AND($I134=Params!$B$5,$H134=Params!$I$3),1,0)</xm:f>
            <x14:dxf>
              <fill>
                <patternFill>
                  <bgColor rgb="FFB4FF00"/>
                </patternFill>
              </fill>
            </x14:dxf>
          </x14:cfRule>
          <x14:cfRule type="expression" priority="59" stopIfTrue="1" id="{14DF8B88-9E0E-443F-A3FB-573B5EC02857}">
            <xm:f>IF(AND($I134=Params!$B$8,$H134=Params!$I$3),1,0)</xm:f>
            <x14:dxf>
              <fill>
                <patternFill>
                  <bgColor rgb="FFFFC000"/>
                </patternFill>
              </fill>
            </x14:dxf>
          </x14:cfRule>
          <x14:cfRule type="expression" priority="60" stopIfTrue="1" id="{E4492BB0-9BBB-42C6-ADB6-9D74017BC520}">
            <xm:f>IF(AND($I134=Params!$B$4,$H134=Params!$I$3),1,0)</xm:f>
            <x14:dxf>
              <fill>
                <patternFill>
                  <bgColor rgb="FFFFFF00"/>
                </patternFill>
              </fill>
            </x14:dxf>
          </x14:cfRule>
          <x14:cfRule type="expression" priority="61" stopIfTrue="1" id="{137FC675-4950-4CEA-8150-03728CE60F30}">
            <xm:f>IF(AND($I134=Params!$B$7,$H134=Params!$I$3),1,0)</xm:f>
            <x14:dxf>
              <font>
                <b/>
                <i val="0"/>
                <color theme="0"/>
              </font>
              <fill>
                <patternFill>
                  <bgColor rgb="FFFF0000"/>
                </patternFill>
              </fill>
            </x14:dxf>
          </x14:cfRule>
          <xm:sqref>H134:I134</xm:sqref>
        </x14:conditionalFormatting>
        <x14:conditionalFormatting xmlns:xm="http://schemas.microsoft.com/office/excel/2006/main">
          <x14:cfRule type="expression" priority="40" stopIfTrue="1" id="{3A072221-7AAA-41DD-BC03-F7847DE82FA4}">
            <xm:f>IF(AND($I134=Params!$B$8,$H134=Params!$I$4),1,0)</xm:f>
            <x14:dxf>
              <fill>
                <patternFill>
                  <bgColor theme="0" tint="-0.14996795556505021"/>
                </patternFill>
              </fill>
            </x14:dxf>
          </x14:cfRule>
          <xm:sqref>B134</xm:sqref>
        </x14:conditionalFormatting>
        <x14:conditionalFormatting xmlns:xm="http://schemas.microsoft.com/office/excel/2006/main">
          <x14:cfRule type="expression" priority="41" stopIfTrue="1" id="{81121075-ADD4-4E98-9EEF-C40DA87C12A8}">
            <xm:f>IF(AND($I134=Params!$B$3,$H134=Params!$I$3),1,0)</xm:f>
            <x14:dxf>
              <fill>
                <patternFill>
                  <bgColor theme="7" tint="0.59996337778862885"/>
                </patternFill>
              </fill>
            </x14:dxf>
          </x14:cfRule>
          <x14:cfRule type="expression" priority="42" stopIfTrue="1" id="{5937D5B8-776E-4B91-A858-CDC124086B9D}">
            <xm:f>IF(AND($I134=Params!$B$6,$H134=Params!$I$3),1,0)</xm:f>
            <x14:dxf>
              <fill>
                <patternFill>
                  <bgColor rgb="FF00FF00"/>
                </patternFill>
              </fill>
            </x14:dxf>
          </x14:cfRule>
          <x14:cfRule type="expression" priority="43" stopIfTrue="1" id="{31D5E7C8-3474-4FB0-A8E7-C2A0AAD2A047}">
            <xm:f>IF(AND($I134=Params!$B$5,$H134=Params!$I$3),1,0)</xm:f>
            <x14:dxf>
              <fill>
                <patternFill>
                  <bgColor rgb="FFB4FF00"/>
                </patternFill>
              </fill>
            </x14:dxf>
          </x14:cfRule>
          <x14:cfRule type="expression" priority="44" stopIfTrue="1" id="{7EA5F361-227F-4F88-A1E5-05327B00DC25}">
            <xm:f>IF(AND($I134=Params!$B$8,$H134=Params!$I$3),1,0)</xm:f>
            <x14:dxf>
              <fill>
                <patternFill>
                  <bgColor rgb="FFFFC000"/>
                </patternFill>
              </fill>
            </x14:dxf>
          </x14:cfRule>
          <x14:cfRule type="expression" priority="45" stopIfTrue="1" id="{4DB826BC-09EE-43B6-8C2F-F072B9690379}">
            <xm:f>IF(AND($I134=Params!$B$4,$H134=Params!$I$3),1,0)</xm:f>
            <x14:dxf>
              <fill>
                <patternFill>
                  <bgColor rgb="FFFFFF00"/>
                </patternFill>
              </fill>
            </x14:dxf>
          </x14:cfRule>
          <x14:cfRule type="expression" priority="46" stopIfTrue="1" id="{257CD0AF-C579-49F1-93A0-291E22C24397}">
            <xm:f>IF(AND($I134=Params!$B$7,$H134=Params!$I$3),1,0)</xm:f>
            <x14:dxf>
              <font>
                <b/>
                <i val="0"/>
                <color theme="0"/>
              </font>
              <fill>
                <patternFill>
                  <bgColor rgb="FFFF0000"/>
                </patternFill>
              </fill>
            </x14:dxf>
          </x14:cfRule>
          <xm:sqref>B134</xm:sqref>
        </x14:conditionalFormatting>
        <x14:conditionalFormatting xmlns:xm="http://schemas.microsoft.com/office/excel/2006/main">
          <x14:cfRule type="expression" priority="39" stopIfTrue="1" id="{F569F988-9880-4BCF-9A80-39181C2FFA86}">
            <xm:f>IF(AND($I133=Params!$B$8,$H133=Params!$I$4),1,0)</xm:f>
            <x14:dxf>
              <fill>
                <patternFill>
                  <bgColor theme="0" tint="-0.14996795556505021"/>
                </patternFill>
              </fill>
            </x14:dxf>
          </x14:cfRule>
          <xm:sqref>C133:C134</xm:sqref>
        </x14:conditionalFormatting>
        <x14:conditionalFormatting xmlns:xm="http://schemas.microsoft.com/office/excel/2006/main">
          <x14:cfRule type="expression" priority="33" stopIfTrue="1" id="{8AD7B32B-47B8-42A2-AB8C-924A3C2E56DB}">
            <xm:f>IF(AND($I158=Params!$B$3,$H158=Params!$I$3),1,0)</xm:f>
            <x14:dxf>
              <fill>
                <patternFill>
                  <bgColor theme="7" tint="0.59996337778862885"/>
                </patternFill>
              </fill>
            </x14:dxf>
          </x14:cfRule>
          <x14:cfRule type="expression" priority="34" stopIfTrue="1" id="{9081CA9A-2CC6-46B4-9E3D-AC7C8B7AD934}">
            <xm:f>IF(AND($I158=Params!$B$6,$H158=Params!$I$3),1,0)</xm:f>
            <x14:dxf>
              <fill>
                <patternFill>
                  <bgColor rgb="FF00FF00"/>
                </patternFill>
              </fill>
            </x14:dxf>
          </x14:cfRule>
          <x14:cfRule type="expression" priority="35" stopIfTrue="1" id="{9B10EB40-5F6D-4A08-8F2D-4B51240B860A}">
            <xm:f>IF(AND($I158=Params!$B$5,$H158=Params!$I$3),1,0)</xm:f>
            <x14:dxf>
              <fill>
                <patternFill>
                  <bgColor rgb="FFB4FF00"/>
                </patternFill>
              </fill>
            </x14:dxf>
          </x14:cfRule>
          <x14:cfRule type="expression" priority="36" stopIfTrue="1" id="{7EF49232-4D5C-4547-BB8F-1C39D05DA285}">
            <xm:f>IF(AND($I158=Params!$B$8,$H158=Params!$I$3),1,0)</xm:f>
            <x14:dxf>
              <fill>
                <patternFill>
                  <bgColor rgb="FFFFC000"/>
                </patternFill>
              </fill>
            </x14:dxf>
          </x14:cfRule>
          <x14:cfRule type="expression" priority="37" stopIfTrue="1" id="{04111BB7-43AB-481E-9310-BE93FF3DE872}">
            <xm:f>IF(AND($I158=Params!$B$4,$H158=Params!$I$3),1,0)</xm:f>
            <x14:dxf>
              <fill>
                <patternFill>
                  <bgColor rgb="FFFFFF00"/>
                </patternFill>
              </fill>
            </x14:dxf>
          </x14:cfRule>
          <x14:cfRule type="expression" priority="38" stopIfTrue="1" id="{44B8C0B6-11A2-4328-A285-7C8E7F1DFED2}">
            <xm:f>IF(AND($I158=Params!$B$7,$H158=Params!$I$3),1,0)</xm:f>
            <x14:dxf>
              <font>
                <b/>
                <i val="0"/>
                <color theme="0"/>
              </font>
              <fill>
                <patternFill>
                  <bgColor rgb="FFFF0000"/>
                </patternFill>
              </fill>
            </x14:dxf>
          </x14:cfRule>
          <xm:sqref>H158:I158</xm:sqref>
        </x14:conditionalFormatting>
        <x14:conditionalFormatting xmlns:xm="http://schemas.microsoft.com/office/excel/2006/main">
          <x14:cfRule type="expression" priority="18" stopIfTrue="1" id="{DD02D361-595D-4DD9-9BD4-3A62C926359A}">
            <xm:f>IF(AND($I159=Params!$B$3,$H159=Params!$I$3),1,0)</xm:f>
            <x14:dxf>
              <fill>
                <patternFill>
                  <bgColor theme="7" tint="0.59996337778862885"/>
                </patternFill>
              </fill>
            </x14:dxf>
          </x14:cfRule>
          <x14:cfRule type="expression" priority="19" stopIfTrue="1" id="{B65B00BE-9616-430C-BCF5-D602A717CE0D}">
            <xm:f>IF(AND($I159=Params!$B$6,$H159=Params!$I$3),1,0)</xm:f>
            <x14:dxf>
              <fill>
                <patternFill>
                  <bgColor rgb="FF00FF00"/>
                </patternFill>
              </fill>
            </x14:dxf>
          </x14:cfRule>
          <x14:cfRule type="expression" priority="20" stopIfTrue="1" id="{30DDBF78-C52D-417C-8640-92E0E4346FE9}">
            <xm:f>IF(AND($I159=Params!$B$5,$H159=Params!$I$3),1,0)</xm:f>
            <x14:dxf>
              <fill>
                <patternFill>
                  <bgColor rgb="FFB4FF00"/>
                </patternFill>
              </fill>
            </x14:dxf>
          </x14:cfRule>
          <x14:cfRule type="expression" priority="21" stopIfTrue="1" id="{043D01A6-1DA7-46E2-BBD0-D7D0ECDBFEC4}">
            <xm:f>IF(AND($I159=Params!$B$8,$H159=Params!$I$3),1,0)</xm:f>
            <x14:dxf>
              <fill>
                <patternFill>
                  <bgColor rgb="FFFFC000"/>
                </patternFill>
              </fill>
            </x14:dxf>
          </x14:cfRule>
          <x14:cfRule type="expression" priority="22" stopIfTrue="1" id="{77128817-F301-4AFD-8C09-27D4AED3732D}">
            <xm:f>IF(AND($I159=Params!$B$4,$H159=Params!$I$3),1,0)</xm:f>
            <x14:dxf>
              <fill>
                <patternFill>
                  <bgColor rgb="FFFFFF00"/>
                </patternFill>
              </fill>
            </x14:dxf>
          </x14:cfRule>
          <x14:cfRule type="expression" priority="23" stopIfTrue="1" id="{50B10DDA-069D-4221-A119-EB1F23DD218A}">
            <xm:f>IF(AND($I159=Params!$B$7,$H159=Params!$I$3),1,0)</xm:f>
            <x14:dxf>
              <font>
                <b/>
                <i val="0"/>
                <color theme="0"/>
              </font>
              <fill>
                <patternFill>
                  <bgColor rgb="FFFF0000"/>
                </patternFill>
              </fill>
            </x14:dxf>
          </x14:cfRule>
          <xm:sqref>H159:I159</xm:sqref>
        </x14:conditionalFormatting>
        <x14:conditionalFormatting xmlns:xm="http://schemas.microsoft.com/office/excel/2006/main">
          <x14:cfRule type="expression" priority="2" stopIfTrue="1" id="{CB4BDCBA-AA8A-4ACE-AD9A-DFCE8A1281F5}">
            <xm:f>IF(AND($I158=Params!$B$8,$H158=Params!$I$4),1,0)</xm:f>
            <x14:dxf>
              <fill>
                <patternFill>
                  <bgColor theme="0" tint="-0.14996795556505021"/>
                </patternFill>
              </fill>
            </x14:dxf>
          </x14:cfRule>
          <xm:sqref>B158:B159</xm:sqref>
        </x14:conditionalFormatting>
        <x14:conditionalFormatting xmlns:xm="http://schemas.microsoft.com/office/excel/2006/main">
          <x14:cfRule type="expression" priority="3" stopIfTrue="1" id="{DFC8BB84-60C0-4041-80EA-4137E9B32314}">
            <xm:f>IF(AND($I158=Params!$B$3,$H158=Params!$I$3),1,0)</xm:f>
            <x14:dxf>
              <fill>
                <patternFill>
                  <bgColor theme="7" tint="0.59996337778862885"/>
                </patternFill>
              </fill>
            </x14:dxf>
          </x14:cfRule>
          <x14:cfRule type="expression" priority="4" stopIfTrue="1" id="{82813DF7-6E5D-4128-BB37-6858FD47AB66}">
            <xm:f>IF(AND($I158=Params!$B$6,$H158=Params!$I$3),1,0)</xm:f>
            <x14:dxf>
              <fill>
                <patternFill>
                  <bgColor rgb="FF00FF00"/>
                </patternFill>
              </fill>
            </x14:dxf>
          </x14:cfRule>
          <x14:cfRule type="expression" priority="5" stopIfTrue="1" id="{AC46F6BD-E03B-4FBB-8FC5-717E4E29F344}">
            <xm:f>IF(AND($I158=Params!$B$5,$H158=Params!$I$3),1,0)</xm:f>
            <x14:dxf>
              <fill>
                <patternFill>
                  <bgColor rgb="FFB4FF00"/>
                </patternFill>
              </fill>
            </x14:dxf>
          </x14:cfRule>
          <x14:cfRule type="expression" priority="6" stopIfTrue="1" id="{2E16600D-BC41-4644-A7A8-196669F0DF20}">
            <xm:f>IF(AND($I158=Params!$B$8,$H158=Params!$I$3),1,0)</xm:f>
            <x14:dxf>
              <fill>
                <patternFill>
                  <bgColor rgb="FFFFC000"/>
                </patternFill>
              </fill>
            </x14:dxf>
          </x14:cfRule>
          <x14:cfRule type="expression" priority="7" stopIfTrue="1" id="{42A35B7B-FDF6-4466-834B-0948FC22BBFD}">
            <xm:f>IF(AND($I158=Params!$B$4,$H158=Params!$I$3),1,0)</xm:f>
            <x14:dxf>
              <fill>
                <patternFill>
                  <bgColor rgb="FFFFFF00"/>
                </patternFill>
              </fill>
            </x14:dxf>
          </x14:cfRule>
          <x14:cfRule type="expression" priority="8" stopIfTrue="1" id="{F2399A48-ACB5-4556-A57F-F473D78F5CAE}">
            <xm:f>IF(AND($I158=Params!$B$7,$H158=Params!$I$3),1,0)</xm:f>
            <x14:dxf>
              <font>
                <b/>
                <i val="0"/>
                <color theme="0"/>
              </font>
              <fill>
                <patternFill>
                  <bgColor rgb="FFFF0000"/>
                </patternFill>
              </fill>
            </x14:dxf>
          </x14:cfRule>
          <xm:sqref>B158:B159</xm:sqref>
        </x14:conditionalFormatting>
        <x14:conditionalFormatting xmlns:xm="http://schemas.microsoft.com/office/excel/2006/main">
          <x14:cfRule type="expression" priority="1" stopIfTrue="1" id="{0E696282-D0F0-4753-96B8-051F4458D783}">
            <xm:f>IF(AND($I158=Params!$B$8,$H158=Params!$I$4),1,0)</xm:f>
            <x14:dxf>
              <fill>
                <patternFill>
                  <bgColor theme="0" tint="-0.14996795556505021"/>
                </patternFill>
              </fill>
            </x14:dxf>
          </x14:cfRule>
          <xm:sqref>C158:C159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B2:J22"/>
  <sheetViews>
    <sheetView workbookViewId="0"/>
  </sheetViews>
  <sheetFormatPr defaultColWidth="11.42578125" defaultRowHeight="15" x14ac:dyDescent="0.25"/>
  <cols>
    <col min="2" max="4" width="11.42578125" customWidth="1"/>
  </cols>
  <sheetData>
    <row r="2" spans="2:10" ht="25.5" x14ac:dyDescent="0.25">
      <c r="B2" s="5" t="s">
        <v>38</v>
      </c>
      <c r="C2" s="5" t="s">
        <v>49</v>
      </c>
      <c r="D2" s="5" t="s">
        <v>39</v>
      </c>
      <c r="E2" s="5" t="s">
        <v>40</v>
      </c>
      <c r="F2" s="5" t="s">
        <v>121</v>
      </c>
      <c r="G2" s="5" t="s">
        <v>129</v>
      </c>
      <c r="H2" s="5" t="s">
        <v>127</v>
      </c>
      <c r="I2" s="5" t="s">
        <v>188</v>
      </c>
      <c r="J2" s="5" t="s">
        <v>346</v>
      </c>
    </row>
    <row r="3" spans="2:10" x14ac:dyDescent="0.25">
      <c r="B3" s="6" t="s">
        <v>41</v>
      </c>
      <c r="C3" s="6" t="s">
        <v>51</v>
      </c>
      <c r="D3" s="6" t="s">
        <v>42</v>
      </c>
      <c r="E3" s="6" t="s">
        <v>33</v>
      </c>
      <c r="F3" s="34">
        <v>1</v>
      </c>
      <c r="G3" s="6" t="s">
        <v>189</v>
      </c>
      <c r="H3" s="6" t="s">
        <v>33</v>
      </c>
      <c r="I3" s="6" t="s">
        <v>33</v>
      </c>
      <c r="J3" s="6" t="s">
        <v>466</v>
      </c>
    </row>
    <row r="4" spans="2:10" x14ac:dyDescent="0.25">
      <c r="B4" s="6" t="s">
        <v>43</v>
      </c>
      <c r="C4" s="6" t="s">
        <v>48</v>
      </c>
      <c r="D4" s="6" t="s">
        <v>41</v>
      </c>
      <c r="E4" s="6" t="s">
        <v>44</v>
      </c>
      <c r="F4" s="34">
        <v>2</v>
      </c>
      <c r="G4" s="6" t="s">
        <v>190</v>
      </c>
      <c r="H4" s="6" t="s">
        <v>44</v>
      </c>
      <c r="I4" s="6" t="s">
        <v>44</v>
      </c>
      <c r="J4" s="6" t="s">
        <v>467</v>
      </c>
    </row>
    <row r="5" spans="2:10" x14ac:dyDescent="0.25">
      <c r="B5" s="6" t="s">
        <v>45</v>
      </c>
      <c r="C5" s="34" t="s">
        <v>316</v>
      </c>
      <c r="D5" s="6" t="s">
        <v>43</v>
      </c>
      <c r="E5" s="6" t="s">
        <v>46</v>
      </c>
      <c r="F5" s="34">
        <v>3</v>
      </c>
      <c r="G5" s="6" t="s">
        <v>191</v>
      </c>
      <c r="J5" s="34" t="s">
        <v>468</v>
      </c>
    </row>
    <row r="6" spans="2:10" x14ac:dyDescent="0.25">
      <c r="B6" s="6" t="s">
        <v>50</v>
      </c>
      <c r="C6" s="6" t="s">
        <v>42</v>
      </c>
      <c r="D6" s="6" t="s">
        <v>45</v>
      </c>
      <c r="E6" s="7"/>
      <c r="F6" s="34">
        <v>4</v>
      </c>
    </row>
    <row r="7" spans="2:10" x14ac:dyDescent="0.25">
      <c r="B7" s="6" t="s">
        <v>528</v>
      </c>
      <c r="C7" s="6"/>
      <c r="D7" s="6" t="s">
        <v>50</v>
      </c>
      <c r="E7" s="7"/>
      <c r="F7" s="34">
        <v>9</v>
      </c>
    </row>
    <row r="8" spans="2:10" x14ac:dyDescent="0.25">
      <c r="B8" s="6" t="s">
        <v>176</v>
      </c>
      <c r="C8" s="6"/>
      <c r="D8" s="6" t="s">
        <v>47</v>
      </c>
      <c r="E8" s="7"/>
    </row>
    <row r="9" spans="2:10" x14ac:dyDescent="0.25">
      <c r="D9" s="6" t="s">
        <v>48</v>
      </c>
      <c r="E9" s="7"/>
    </row>
    <row r="10" spans="2:10" x14ac:dyDescent="0.25">
      <c r="D10" s="6" t="s">
        <v>177</v>
      </c>
      <c r="E10" s="7"/>
    </row>
    <row r="16" spans="2:10" x14ac:dyDescent="0.25">
      <c r="B16" s="164" t="s">
        <v>703</v>
      </c>
      <c r="C16" s="165" t="s">
        <v>701</v>
      </c>
      <c r="D16" s="165" t="s">
        <v>694</v>
      </c>
      <c r="E16" s="165" t="s">
        <v>695</v>
      </c>
    </row>
    <row r="17" spans="2:5" x14ac:dyDescent="0.25">
      <c r="B17" s="166" t="s">
        <v>44</v>
      </c>
      <c r="C17" s="166">
        <v>1</v>
      </c>
      <c r="D17" s="166">
        <v>1</v>
      </c>
      <c r="E17" s="166">
        <v>1</v>
      </c>
    </row>
    <row r="18" spans="2:5" x14ac:dyDescent="0.25">
      <c r="B18" s="167" t="s">
        <v>696</v>
      </c>
      <c r="C18" s="166">
        <v>2</v>
      </c>
      <c r="D18" s="166">
        <v>2</v>
      </c>
      <c r="E18" s="166">
        <v>2</v>
      </c>
    </row>
    <row r="19" spans="2:5" x14ac:dyDescent="0.25">
      <c r="B19" s="167" t="s">
        <v>697</v>
      </c>
      <c r="C19" s="166">
        <v>2</v>
      </c>
      <c r="D19" s="166">
        <v>2</v>
      </c>
      <c r="E19" s="166">
        <v>2</v>
      </c>
    </row>
    <row r="20" spans="2:5" x14ac:dyDescent="0.25">
      <c r="B20" s="167" t="s">
        <v>627</v>
      </c>
      <c r="C20" s="166">
        <v>2</v>
      </c>
      <c r="D20" s="166">
        <v>2</v>
      </c>
      <c r="E20" s="166">
        <v>2</v>
      </c>
    </row>
    <row r="21" spans="2:5" x14ac:dyDescent="0.25">
      <c r="B21" s="167" t="s">
        <v>625</v>
      </c>
      <c r="C21" s="166">
        <v>3</v>
      </c>
      <c r="D21" s="166">
        <v>3</v>
      </c>
      <c r="E21" s="166">
        <v>3</v>
      </c>
    </row>
    <row r="22" spans="2:5" x14ac:dyDescent="0.25">
      <c r="B22" s="167" t="s">
        <v>698</v>
      </c>
      <c r="C22" s="166">
        <v>3</v>
      </c>
      <c r="D22" s="166">
        <v>4</v>
      </c>
      <c r="E22" s="166">
        <v>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9"/>
  <dimension ref="B1:O30"/>
  <sheetViews>
    <sheetView workbookViewId="0"/>
  </sheetViews>
  <sheetFormatPr defaultColWidth="11.42578125" defaultRowHeight="15" x14ac:dyDescent="0.25"/>
  <cols>
    <col min="1" max="1" width="13.140625" style="9" bestFit="1" customWidth="1"/>
    <col min="2" max="2" width="13.140625" bestFit="1" customWidth="1"/>
    <col min="3" max="12" width="4.28515625" customWidth="1"/>
    <col min="13" max="15" width="4.28515625" style="9" customWidth="1"/>
    <col min="16" max="16384" width="11.42578125" style="9"/>
  </cols>
  <sheetData>
    <row r="1" spans="2:15" ht="15.75" thickBot="1" x14ac:dyDescent="0.3"/>
    <row r="2" spans="2:15" ht="108.75" customHeight="1" thickBot="1" x14ac:dyDescent="0.3">
      <c r="C2" s="239" t="s">
        <v>625</v>
      </c>
      <c r="D2" s="240" t="s">
        <v>626</v>
      </c>
      <c r="E2" s="240" t="s">
        <v>627</v>
      </c>
      <c r="F2" s="247" t="s">
        <v>628</v>
      </c>
      <c r="G2" s="243" t="s">
        <v>11</v>
      </c>
      <c r="H2" s="240" t="s">
        <v>127</v>
      </c>
      <c r="I2" s="240" t="s">
        <v>145</v>
      </c>
      <c r="J2" s="240" t="s">
        <v>144</v>
      </c>
      <c r="K2" s="240" t="s">
        <v>591</v>
      </c>
      <c r="L2" s="240" t="s">
        <v>335</v>
      </c>
      <c r="M2" s="241" t="s">
        <v>146</v>
      </c>
      <c r="N2" s="241" t="s">
        <v>320</v>
      </c>
      <c r="O2" s="242" t="s">
        <v>724</v>
      </c>
    </row>
    <row r="3" spans="2:15" x14ac:dyDescent="0.25">
      <c r="B3" s="236" t="str">
        <f>Params!B3</f>
        <v>Proposed</v>
      </c>
      <c r="C3" s="106">
        <f ca="1">COUNTIF('NFR repository'!AS$4:AS$178,Params!$B3)</f>
        <v>0</v>
      </c>
      <c r="D3" s="107">
        <f ca="1">COUNTIF('NFR repository'!AT$4:AT$178,Params!$B3)</f>
        <v>0</v>
      </c>
      <c r="E3" s="107">
        <f ca="1">COUNTIF('NFR repository'!AU$4:AU$178,Params!$B3)</f>
        <v>0</v>
      </c>
      <c r="F3" s="108">
        <f ca="1">COUNTIF('NFR repository'!AV$4:AV$178,Params!$B3)</f>
        <v>0</v>
      </c>
      <c r="G3" s="244">
        <f>COUNTIF('NFR repository'!AW$4:AW$178,Params!$B3)</f>
        <v>0</v>
      </c>
      <c r="H3" s="107">
        <f>COUNTIF('NFR repository'!AX$4:AX$178,Params!$B3)</f>
        <v>0</v>
      </c>
      <c r="I3" s="107">
        <f>COUNTIF('NFR repository'!AY$4:AY$178,Params!$B3)</f>
        <v>0</v>
      </c>
      <c r="J3" s="107">
        <f>COUNTIF('NFR repository'!AZ$4:AZ$178,Params!$B3)</f>
        <v>0</v>
      </c>
      <c r="K3" s="107">
        <f>COUNTIF('NFR repository'!BA$4:BA$178,Params!$B3)</f>
        <v>0</v>
      </c>
      <c r="L3" s="107">
        <f>COUNTIF('NFR repository'!BB$4:BB$178,Params!$B3)</f>
        <v>0</v>
      </c>
      <c r="M3" s="107">
        <f>COUNTIF('NFR repository'!BC$4:BC$178,Params!$B3)</f>
        <v>0</v>
      </c>
      <c r="N3" s="107">
        <f>COUNTIF('NFR repository'!BD$4:BD$178,Params!$B3)</f>
        <v>0</v>
      </c>
      <c r="O3" s="108">
        <f>COUNTIF('NFR repository'!BE$4:BE$178,Params!$B3)</f>
        <v>0</v>
      </c>
    </row>
    <row r="4" spans="2:15" x14ac:dyDescent="0.25">
      <c r="B4" s="237" t="str">
        <f>Params!B4</f>
        <v>Accepted</v>
      </c>
      <c r="C4" s="109">
        <f ca="1">COUNTIF('NFR repository'!AS$4:AS$178,Params!$B4)</f>
        <v>0</v>
      </c>
      <c r="D4" s="91">
        <f ca="1">COUNTIF('NFR repository'!AT$4:AT$178,Params!$B4)</f>
        <v>0</v>
      </c>
      <c r="E4" s="91">
        <f ca="1">COUNTIF('NFR repository'!AU$4:AU$178,Params!$B4)</f>
        <v>0</v>
      </c>
      <c r="F4" s="110">
        <f ca="1">COUNTIF('NFR repository'!AV$4:AV$178,Params!$B4)</f>
        <v>0</v>
      </c>
      <c r="G4" s="245">
        <f>COUNTIF('NFR repository'!AW$4:AW$178,Params!$B4)</f>
        <v>0</v>
      </c>
      <c r="H4" s="91">
        <f>COUNTIF('NFR repository'!AX$4:AX$178,Params!$B4)</f>
        <v>0</v>
      </c>
      <c r="I4" s="91">
        <f>COUNTIF('NFR repository'!AY$4:AY$178,Params!$B4)</f>
        <v>0</v>
      </c>
      <c r="J4" s="91">
        <f>COUNTIF('NFR repository'!AZ$4:AZ$178,Params!$B4)</f>
        <v>0</v>
      </c>
      <c r="K4" s="91">
        <f>COUNTIF('NFR repository'!BA$4:BA$178,Params!$B4)</f>
        <v>0</v>
      </c>
      <c r="L4" s="91">
        <f>COUNTIF('NFR repository'!BB$4:BB$178,Params!$B4)</f>
        <v>0</v>
      </c>
      <c r="M4" s="91">
        <f>COUNTIF('NFR repository'!BC$4:BC$178,Params!$B4)</f>
        <v>0</v>
      </c>
      <c r="N4" s="91">
        <f>COUNTIF('NFR repository'!BD$4:BD$178,Params!$B4)</f>
        <v>0</v>
      </c>
      <c r="O4" s="110">
        <f>COUNTIF('NFR repository'!BE$4:BE$178,Params!$B4)</f>
        <v>0</v>
      </c>
    </row>
    <row r="5" spans="2:15" x14ac:dyDescent="0.25">
      <c r="B5" s="237" t="str">
        <f>Params!B5</f>
        <v>Implemented</v>
      </c>
      <c r="C5" s="109">
        <f ca="1">COUNTIF('NFR repository'!AS$4:AS$178,Params!$B5)</f>
        <v>0</v>
      </c>
      <c r="D5" s="91">
        <f ca="1">COUNTIF('NFR repository'!AT$4:AT$178,Params!$B5)</f>
        <v>0</v>
      </c>
      <c r="E5" s="91">
        <f ca="1">COUNTIF('NFR repository'!AU$4:AU$178,Params!$B5)</f>
        <v>0</v>
      </c>
      <c r="F5" s="110">
        <f ca="1">COUNTIF('NFR repository'!AV$4:AV$178,Params!$B5)</f>
        <v>0</v>
      </c>
      <c r="G5" s="245">
        <f>COUNTIF('NFR repository'!AW$4:AW$178,Params!$B5)</f>
        <v>0</v>
      </c>
      <c r="H5" s="91">
        <f>COUNTIF('NFR repository'!AX$4:AX$178,Params!$B5)</f>
        <v>0</v>
      </c>
      <c r="I5" s="91">
        <f>COUNTIF('NFR repository'!AY$4:AY$178,Params!$B5)</f>
        <v>0</v>
      </c>
      <c r="J5" s="91">
        <f>COUNTIF('NFR repository'!AZ$4:AZ$178,Params!$B5)</f>
        <v>0</v>
      </c>
      <c r="K5" s="91">
        <f>COUNTIF('NFR repository'!BA$4:BA$178,Params!$B5)</f>
        <v>0</v>
      </c>
      <c r="L5" s="91">
        <f>COUNTIF('NFR repository'!BB$4:BB$178,Params!$B5)</f>
        <v>0</v>
      </c>
      <c r="M5" s="91">
        <f>COUNTIF('NFR repository'!BC$4:BC$178,Params!$B5)</f>
        <v>0</v>
      </c>
      <c r="N5" s="91">
        <f>COUNTIF('NFR repository'!BD$4:BD$178,Params!$B5)</f>
        <v>0</v>
      </c>
      <c r="O5" s="110">
        <f>COUNTIF('NFR repository'!BE$4:BE$178,Params!$B5)</f>
        <v>0</v>
      </c>
    </row>
    <row r="6" spans="2:15" x14ac:dyDescent="0.25">
      <c r="B6" s="237" t="str">
        <f>Params!B6</f>
        <v>Verified</v>
      </c>
      <c r="C6" s="109">
        <f ca="1">COUNTIF('NFR repository'!AS$4:AS$178,Params!$B6)</f>
        <v>0</v>
      </c>
      <c r="D6" s="91">
        <f ca="1">COUNTIF('NFR repository'!AT$4:AT$178,Params!$B6)</f>
        <v>0</v>
      </c>
      <c r="E6" s="91">
        <f ca="1">COUNTIF('NFR repository'!AU$4:AU$178,Params!$B6)</f>
        <v>0</v>
      </c>
      <c r="F6" s="110">
        <f ca="1">COUNTIF('NFR repository'!AV$4:AV$178,Params!$B6)</f>
        <v>0</v>
      </c>
      <c r="G6" s="245">
        <f>COUNTIF('NFR repository'!AW$4:AW$178,Params!$B6)</f>
        <v>0</v>
      </c>
      <c r="H6" s="91">
        <f>COUNTIF('NFR repository'!AX$4:AX$178,Params!$B6)</f>
        <v>0</v>
      </c>
      <c r="I6" s="91">
        <f>COUNTIF('NFR repository'!AY$4:AY$178,Params!$B6)</f>
        <v>0</v>
      </c>
      <c r="J6" s="91">
        <f>COUNTIF('NFR repository'!AZ$4:AZ$178,Params!$B6)</f>
        <v>0</v>
      </c>
      <c r="K6" s="91">
        <f>COUNTIF('NFR repository'!BA$4:BA$178,Params!$B6)</f>
        <v>0</v>
      </c>
      <c r="L6" s="91">
        <f>COUNTIF('NFR repository'!BB$4:BB$178,Params!$B6)</f>
        <v>0</v>
      </c>
      <c r="M6" s="91">
        <f>COUNTIF('NFR repository'!BC$4:BC$178,Params!$B6)</f>
        <v>0</v>
      </c>
      <c r="N6" s="91">
        <f>COUNTIF('NFR repository'!BD$4:BD$178,Params!$B6)</f>
        <v>0</v>
      </c>
      <c r="O6" s="110">
        <f>COUNTIF('NFR repository'!BE$4:BE$178,Params!$B6)</f>
        <v>0</v>
      </c>
    </row>
    <row r="7" spans="2:15" ht="15.75" thickBot="1" x14ac:dyDescent="0.3">
      <c r="B7" s="238" t="str">
        <f>Params!B7</f>
        <v>Not feasible</v>
      </c>
      <c r="C7" s="111">
        <f ca="1">COUNTIF('NFR repository'!AS$4:AS$178,Params!$B7)</f>
        <v>0</v>
      </c>
      <c r="D7" s="112">
        <f ca="1">COUNTIF('NFR repository'!AT$4:AT$178,Params!$B7)</f>
        <v>0</v>
      </c>
      <c r="E7" s="112">
        <f ca="1">COUNTIF('NFR repository'!AU$4:AU$178,Params!$B7)</f>
        <v>0</v>
      </c>
      <c r="F7" s="113">
        <f ca="1">COUNTIF('NFR repository'!AV$4:AV$178,Params!$B7)</f>
        <v>0</v>
      </c>
      <c r="G7" s="246">
        <f>COUNTIF('NFR repository'!AW$4:AW$178,Params!$B7)</f>
        <v>0</v>
      </c>
      <c r="H7" s="112">
        <f>COUNTIF('NFR repository'!AX$4:AX$178,Params!$B7)</f>
        <v>0</v>
      </c>
      <c r="I7" s="112">
        <f>COUNTIF('NFR repository'!AY$4:AY$178,Params!$B7)</f>
        <v>0</v>
      </c>
      <c r="J7" s="112">
        <f>COUNTIF('NFR repository'!AZ$4:AZ$178,Params!$B7)</f>
        <v>0</v>
      </c>
      <c r="K7" s="112">
        <f>COUNTIF('NFR repository'!BA$4:BA$178,Params!$B7)</f>
        <v>0</v>
      </c>
      <c r="L7" s="112">
        <f>COUNTIF('NFR repository'!BB$4:BB$178,Params!$B7)</f>
        <v>0</v>
      </c>
      <c r="M7" s="112">
        <f>COUNTIF('NFR repository'!BC$4:BC$178,Params!$B7)</f>
        <v>0</v>
      </c>
      <c r="N7" s="112">
        <f>COUNTIF('NFR repository'!BD$4:BD$178,Params!$B7)</f>
        <v>0</v>
      </c>
      <c r="O7" s="113">
        <f>COUNTIF('NFR repository'!BE$4:BE$178,Params!$B7)</f>
        <v>0</v>
      </c>
    </row>
    <row r="30" ht="15" customHeight="1" x14ac:dyDescent="0.25"/>
  </sheetData>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 stopIfTrue="1" id="{16CF1D97-92F6-4C1B-BCEF-560F6635348F}">
            <xm:f>IF(AND($F3=Params!$B$8,$E3=Params!$I$4),1,0)</xm:f>
            <x14:dxf>
              <fill>
                <patternFill>
                  <bgColor theme="0" tint="-0.14996795556505021"/>
                </patternFill>
              </fill>
            </x14:dxf>
          </x14:cfRule>
          <xm:sqref>B3:B7</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AE32293237CEE45B08D014D845B32A3" ma:contentTypeVersion="6" ma:contentTypeDescription="Crée un document." ma:contentTypeScope="" ma:versionID="5229ad27e8e19ae5a778050038209013">
  <xsd:schema xmlns:xsd="http://www.w3.org/2001/XMLSchema" xmlns:xs="http://www.w3.org/2001/XMLSchema" xmlns:p="http://schemas.microsoft.com/office/2006/metadata/properties" xmlns:ns2="ad3591c1-c1d4-4636-9c44-360f1220cfa6" targetNamespace="http://schemas.microsoft.com/office/2006/metadata/properties" ma:root="true" ma:fieldsID="cb2ea87a280d0473507e4330ac130306" ns2:_="">
    <xsd:import namespace="ad3591c1-c1d4-4636-9c44-360f1220cfa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d3591c1-c1d4-4636-9c44-360f1220cfa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A7824AE-5D39-4828-898C-0BFF21AE0F86}"/>
</file>

<file path=customXml/itemProps2.xml><?xml version="1.0" encoding="utf-8"?>
<ds:datastoreItem xmlns:ds="http://schemas.openxmlformats.org/officeDocument/2006/customXml" ds:itemID="{9DE4F848-CE3D-4543-BB82-BF9931DAAF15}"/>
</file>

<file path=customXml/itemProps3.xml><?xml version="1.0" encoding="utf-8"?>
<ds:datastoreItem xmlns:ds="http://schemas.openxmlformats.org/officeDocument/2006/customXml" ds:itemID="{3575C838-6D85-4887-AADA-480D54794F1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Guide</vt:lpstr>
      <vt:lpstr>Synthesis</vt:lpstr>
      <vt:lpstr>NFR repository</vt:lpstr>
      <vt:lpstr>Params</vt:lpstr>
      <vt:lpstr>Calc</vt:lpstr>
      <vt:lpstr>Data_privacy</vt:lpstr>
      <vt:lpstr>DP_Risk_Level</vt:lpstr>
      <vt:lpstr>MR_Status</vt:lpstr>
      <vt:lpstr>Referential_status</vt:lpstr>
      <vt:lpstr>RTO</vt:lpstr>
      <vt:lpstr>Service_level</vt:lpstr>
      <vt:lpstr>SR_Status</vt:lpstr>
      <vt:lpstr>Yes_No</vt:lpstr>
    </vt:vector>
  </TitlesOfParts>
  <Company>PEUGEOT CITROEN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BRONSIN - P758487</dc:creator>
  <cp:lastModifiedBy>PATRICK BRONSIN</cp:lastModifiedBy>
  <dcterms:created xsi:type="dcterms:W3CDTF">2016-11-29T16:17:26Z</dcterms:created>
  <dcterms:modified xsi:type="dcterms:W3CDTF">2024-05-21T15:17:19Z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sa_titre">
    <vt:lpwstr>Non-Functional_Requirements_Management</vt:lpwstr>
  </property>
  <property fmtid="{D5CDD505-2E9C-101B-9397-08002B2CF9AE}" pid="3" name="psa_reference">
    <vt:lpwstr>20596_17_00905</vt:lpwstr>
  </property>
  <property fmtid="{D5CDD505-2E9C-101B-9397-08002B2CF9AE}" pid="4" name="psa_date_creation">
    <vt:lpwstr>24/10/2017 14:17</vt:lpwstr>
  </property>
  <property fmtid="{D5CDD505-2E9C-101B-9397-08002B2CF9AE}" pid="5" name="psa_date_modification">
    <vt:lpwstr>13/11/2017 12:02</vt:lpwstr>
  </property>
  <property fmtid="{D5CDD505-2E9C-101B-9397-08002B2CF9AE}" pid="6" name="psa_auteur">
    <vt:lpwstr>BRONSIN PATRICK - P758487  </vt:lpwstr>
  </property>
  <property fmtid="{D5CDD505-2E9C-101B-9397-08002B2CF9AE}" pid="7" name="psa_emetteur">
    <vt:lpwstr>BRONSIN PATRICK - P758487  </vt:lpwstr>
  </property>
  <property fmtid="{D5CDD505-2E9C-101B-9397-08002B2CF9AE}" pid="8" name="psa_version">
    <vt:lpwstr>0.5</vt:lpwstr>
  </property>
  <property fmtid="{D5CDD505-2E9C-101B-9397-08002B2CF9AE}" pid="9" name="psa_commentaire">
    <vt:lpwstr/>
  </property>
  <property fmtid="{D5CDD505-2E9C-101B-9397-08002B2CF9AE}" pid="10" name="psa_langue_principale">
    <vt:lpwstr>Français</vt:lpwstr>
  </property>
  <property fmtid="{D5CDD505-2E9C-101B-9397-08002B2CF9AE}" pid="11" name="psa_status">
    <vt:lpwstr>brouillon</vt:lpwstr>
  </property>
  <property fmtid="{D5CDD505-2E9C-101B-9397-08002B2CF9AE}" pid="12" name="psa_type_doc">
    <vt:lpwstr/>
  </property>
  <property fmtid="{D5CDD505-2E9C-101B-9397-08002B2CF9AE}" pid="13" name="psa_communaute">
    <vt:lpwstr>Support Méthodes et Qualité des systèmes d'Information</vt:lpwstr>
  </property>
  <property fmtid="{D5CDD505-2E9C-101B-9397-08002B2CF9AE}" pid="14" name="psa_niveau_confidentialite">
    <vt:lpwstr>C1 - Non sensible</vt:lpwstr>
  </property>
  <property fmtid="{D5CDD505-2E9C-101B-9397-08002B2CF9AE}" pid="15" name="psa_url_fiche">
    <vt:lpwstr>http://docinfogroupe.inetpsa.com/ead/doc/ref.20596_17_00905/v.0.5</vt:lpwstr>
  </property>
  <property fmtid="{D5CDD505-2E9C-101B-9397-08002B2CF9AE}" pid="16" name="psa_url_modification">
    <vt:lpwstr>http://docinfogroupe.inetpsa.com/ead/doc/modif/ref.20596_17_00905/fiche</vt:lpwstr>
  </property>
  <property fmtid="{D5CDD505-2E9C-101B-9397-08002B2CF9AE}" pid="17" name="psa_date_publication">
    <vt:lpwstr/>
  </property>
  <property fmtid="{D5CDD505-2E9C-101B-9397-08002B2CF9AE}" pid="18" name="MSIP_Label_2fd53d93-3f4c-4b90-b511-bd6bdbb4fba9_Enabled">
    <vt:lpwstr>true</vt:lpwstr>
  </property>
  <property fmtid="{D5CDD505-2E9C-101B-9397-08002B2CF9AE}" pid="19" name="MSIP_Label_2fd53d93-3f4c-4b90-b511-bd6bdbb4fba9_SetDate">
    <vt:lpwstr>2020-12-17T16:22:59Z</vt:lpwstr>
  </property>
  <property fmtid="{D5CDD505-2E9C-101B-9397-08002B2CF9AE}" pid="20" name="MSIP_Label_2fd53d93-3f4c-4b90-b511-bd6bdbb4fba9_Method">
    <vt:lpwstr>Standard</vt:lpwstr>
  </property>
  <property fmtid="{D5CDD505-2E9C-101B-9397-08002B2CF9AE}" pid="21" name="MSIP_Label_2fd53d93-3f4c-4b90-b511-bd6bdbb4fba9_Name">
    <vt:lpwstr>2fd53d93-3f4c-4b90-b511-bd6bdbb4fba9</vt:lpwstr>
  </property>
  <property fmtid="{D5CDD505-2E9C-101B-9397-08002B2CF9AE}" pid="22" name="MSIP_Label_2fd53d93-3f4c-4b90-b511-bd6bdbb4fba9_SiteId">
    <vt:lpwstr>d852d5cd-724c-4128-8812-ffa5db3f8507</vt:lpwstr>
  </property>
  <property fmtid="{D5CDD505-2E9C-101B-9397-08002B2CF9AE}" pid="23" name="MSIP_Label_2fd53d93-3f4c-4b90-b511-bd6bdbb4fba9_ActionId">
    <vt:lpwstr/>
  </property>
  <property fmtid="{D5CDD505-2E9C-101B-9397-08002B2CF9AE}" pid="24" name="MSIP_Label_2fd53d93-3f4c-4b90-b511-bd6bdbb4fba9_ContentBits">
    <vt:lpwstr>0</vt:lpwstr>
  </property>
  <property fmtid="{D5CDD505-2E9C-101B-9397-08002B2CF9AE}" pid="25" name="ContentTypeId">
    <vt:lpwstr>0x0101000AE32293237CEE45B08D014D845B32A3</vt:lpwstr>
  </property>
</Properties>
</file>