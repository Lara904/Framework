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microsoft.com/office/2020/02/relationships/classificationlabels" Target="docMetadata/LabelInfo.xml"/>
  <Relationship Id="rId3" Type="http://schemas.openxmlformats.org/package/2006/relationships/metadata/core-properties" Target="docProps/core.xml"/>
  <Relationship Id="rId4" Type="http://schemas.openxmlformats.org/officeDocument/2006/relationships/extended-properties" Target="docProps/app.xml"/>
  <Relationship Id="rId5"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C:\TEMP\20373_22_04503 V14.5\"/>
    </mc:Choice>
  </mc:AlternateContent>
  <xr:revisionPtr revIDLastSave="0" documentId="13_ncr:1_{8F192980-0D42-4D26-ACDF-195BBCCC244E}" xr6:coauthVersionLast="47" xr6:coauthVersionMax="47" xr10:uidLastSave="{00000000-0000-0000-0000-000000000000}"/>
  <bookViews>
    <workbookView xWindow="-19320" yWindow="555" windowWidth="19440" windowHeight="14880" xr2:uid="{00000000-000D-0000-FFFF-FFFF00000000}"/>
  </bookViews>
  <sheets>
    <sheet name="index" sheetId="21" r:id="rId1"/>
    <sheet name="Guide" sheetId="8" r:id="rId2"/>
    <sheet name="APPLICATION Information" sheetId="6" r:id="rId3"/>
    <sheet name="Matrix of BUSINESS rights" sheetId="23" r:id="rId4"/>
    <sheet name="AWS NG - TECHNICAL rights" sheetId="25" r:id="rId5"/>
    <sheet name="Parameters" sheetId="3" state="hidden" r:id="rId6"/>
  </sheets>
  <definedNames>
    <definedName name="_xlnm._FilterDatabase" localSheetId="4" hidden="1">'AWS NG - TECHNICAL rights'!$A$8:$D$32</definedName>
    <definedName name="_xlnm._FilterDatabase" localSheetId="3" hidden="1">'Matrix of BUSINESS rights'!$A$16:$T$16</definedName>
    <definedName name="_Toc48208439" localSheetId="4">'AWS NG - TECHNICAL rights'!$U$9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2" i="23" l="1"/>
  <c r="S12" i="23"/>
  <c r="R12" i="23"/>
  <c r="Q12" i="23"/>
  <c r="P12" i="23"/>
  <c r="O12" i="23"/>
  <c r="N12" i="23"/>
  <c r="M12" i="23"/>
  <c r="L12" i="23"/>
  <c r="K12" i="23"/>
  <c r="J12" i="23"/>
  <c r="I12" i="23"/>
  <c r="H12" i="23"/>
  <c r="G12" i="23"/>
  <c r="F12" i="23"/>
  <c r="E12" i="23"/>
  <c r="D12" i="23"/>
  <c r="C12" i="23"/>
  <c r="P4" i="25" l="1"/>
  <c r="D18" i="25"/>
  <c r="C18" i="25"/>
  <c r="B18" i="25"/>
  <c r="P16" i="25"/>
  <c r="F16" i="25"/>
  <c r="E16" i="25"/>
  <c r="D16" i="25"/>
  <c r="C16" i="25"/>
  <c r="B16" i="25"/>
  <c r="B12" i="23"/>
  <c r="J5" i="25" l="1"/>
  <c r="J7" i="25" s="1"/>
  <c r="K5" i="25"/>
  <c r="K7" i="25" s="1"/>
  <c r="L5" i="25"/>
  <c r="L7" i="25" s="1"/>
  <c r="M5" i="25"/>
  <c r="M7" i="25" s="1"/>
  <c r="B5" i="25"/>
  <c r="B7" i="25" s="1"/>
  <c r="N5" i="25"/>
  <c r="N7" i="25" s="1"/>
  <c r="O5" i="25"/>
  <c r="O7" i="25" s="1"/>
  <c r="C5" i="25"/>
  <c r="C7" i="25" s="1"/>
  <c r="D5" i="25"/>
  <c r="D7" i="25" s="1"/>
  <c r="P5" i="25"/>
  <c r="P7" i="25" s="1"/>
  <c r="E5" i="25"/>
  <c r="E7" i="25" s="1"/>
  <c r="F5" i="25"/>
  <c r="F7" i="25" s="1"/>
  <c r="G5" i="25"/>
  <c r="G7" i="25" s="1"/>
  <c r="H5" i="25"/>
  <c r="H7" i="25" s="1"/>
  <c r="I5" i="25"/>
  <c r="I7"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VALERIE CHASSAING - J565488</author>
  </authors>
  <commentList>
    <comment ref="B7" authorId="0" shapeId="0" xr:uid="{00000000-0006-0000-0200-000001000000}">
      <text>
        <r>
          <rPr>
            <b/>
            <sz val="9"/>
            <color indexed="81"/>
            <rFont val="Tahoma"/>
            <family val="2"/>
          </rPr>
          <t xml:space="preserve">Functional description of the application:
</t>
        </r>
        <r>
          <rPr>
            <sz val="9"/>
            <color indexed="81"/>
            <rFont val="Tahoma"/>
            <family val="2"/>
          </rPr>
          <t xml:space="preserve">Corresponds to the description of what the application allows to do functionally. It must be precise and clear so that ASLs or users who will consult it can verify that the application is appropriate when needed. 
This information must be entered in REFLEX. When creating a new access service REUNIS for this application, this description will be automatically included in the request form. If the description is incomplete, it is strongly recommended to modify it in REFLEX to avoid having to enter it each time you make a new request.
Example: Example
GEDEX is the application of EXTERNAL MANAGEMENT. It allows to consult, create, modify and invalidate the missions of external personnel (excluding third party traders or suppliers) whose intervention for the Group requires access to PSA's Information Systems or Establishments.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VALERIE CHASSAING - J565488</author>
  </authors>
  <commentList>
    <comment ref="A4" authorId="0" shapeId="0" xr:uid="{00000000-0006-0000-0300-000001000000}">
      <text>
        <r>
          <rPr>
            <b/>
            <sz val="9"/>
            <color indexed="81"/>
            <rFont val="Tahoma"/>
            <family val="2"/>
          </rPr>
          <t xml:space="preserve">Label :
</t>
        </r>
        <r>
          <rPr>
            <sz val="9"/>
            <color indexed="81"/>
            <rFont val="Tahoma"/>
            <family val="2"/>
          </rPr>
          <t xml:space="preserve">
This is the name of the role or access right. If this role is assigned by an access service in REUNIS, it is the information that the ASL will see first when it looks for an access service to assign it.
It is therefore important that it is clear, concise and allows to select among all the services that the application has, the one that corresponds to the user's need.
It must contain at least:
- The name of the access right or role that the service will give in the application 
- The type of access to the application data (when not role-induced)
Acronyms and abbreviations must be explained.
Examples of this 
- Functional Application Pilot Role (PFA)
- Auditor Role 
- Purchaser Role - Access to supplier evaluations in modification 
- Accounting Manager Role - Consulting Access
</t>
        </r>
      </text>
    </comment>
    <comment ref="A5" authorId="0" shapeId="0" xr:uid="{00000000-0006-0000-0300-000002000000}">
      <text>
        <r>
          <rPr>
            <b/>
            <sz val="9"/>
            <color indexed="81"/>
            <rFont val="Tahoma"/>
            <family val="2"/>
          </rPr>
          <t xml:space="preserve">Description :
</t>
        </r>
        <r>
          <rPr>
            <sz val="9"/>
            <color indexed="81"/>
            <rFont val="Tahoma"/>
            <family val="2"/>
          </rPr>
          <t xml:space="preserve">The description completes the label and more precisely describes what this role or right can do in the application. It must list the main functions of the application that will be accessible to the user who will own it (the details of the functions will be described in the access rights matrix)
</t>
        </r>
        <r>
          <rPr>
            <i/>
            <sz val="9"/>
            <color indexed="81"/>
            <rFont val="Tahoma"/>
            <family val="2"/>
          </rPr>
          <t>Example 1</t>
        </r>
        <r>
          <rPr>
            <sz val="9"/>
            <color indexed="81"/>
            <rFont val="Tahoma"/>
            <family val="2"/>
          </rPr>
          <t xml:space="preserve">
This role allows you to: 
- create, modify, search and consult external files and missions. 
- consult the action logs. 
- export research results 
- follow up on its creation requests
</t>
        </r>
        <r>
          <rPr>
            <i/>
            <sz val="9"/>
            <color indexed="81"/>
            <rFont val="Tahoma"/>
            <family val="2"/>
          </rPr>
          <t>Example 2</t>
        </r>
        <r>
          <rPr>
            <sz val="9"/>
            <color indexed="81"/>
            <rFont val="Tahoma"/>
            <family val="2"/>
          </rPr>
          <t xml:space="preserve">
This role allows you to consult the spare parts catalogues for a given brand.
</t>
        </r>
        <r>
          <rPr>
            <i/>
            <sz val="9"/>
            <color indexed="81"/>
            <rFont val="Tahoma"/>
            <family val="2"/>
          </rPr>
          <t>Example 3</t>
        </r>
        <r>
          <rPr>
            <sz val="9"/>
            <color indexed="81"/>
            <rFont val="Tahoma"/>
            <family val="2"/>
          </rPr>
          <t xml:space="preserve">
This role gives access to servers in production on the application perimeter. It allows any type of industrialization action to be carried out without modifying user master data.</t>
        </r>
      </text>
    </comment>
    <comment ref="A6" authorId="0" shapeId="0" xr:uid="{00000000-0006-0000-0300-000003000000}">
      <text>
        <r>
          <rPr>
            <b/>
            <sz val="9"/>
            <color indexed="81"/>
            <rFont val="Tahoma"/>
            <family val="2"/>
          </rPr>
          <t xml:space="preserve">User type :
</t>
        </r>
        <r>
          <rPr>
            <sz val="9"/>
            <color indexed="81"/>
            <rFont val="Tahoma"/>
            <family val="2"/>
          </rPr>
          <t xml:space="preserve">The type of user allows you to know who can potentially request the access service. 
This information should alert an ASL if the person making the request does not match the type of user described.
</t>
        </r>
        <r>
          <rPr>
            <i/>
            <sz val="9"/>
            <color indexed="81"/>
            <rFont val="Tahoma"/>
            <family val="2"/>
          </rPr>
          <t xml:space="preserve">Best practices </t>
        </r>
        <r>
          <rPr>
            <sz val="9"/>
            <color indexed="81"/>
            <rFont val="Tahoma"/>
            <family val="2"/>
          </rPr>
          <t xml:space="preserve">: Avoid giving the name "organization chart" of an entity that may change in the event of reorganization, prefer a functional description.
</t>
        </r>
        <r>
          <rPr>
            <i/>
            <sz val="9"/>
            <color indexed="81"/>
            <rFont val="Tahoma"/>
            <family val="2"/>
          </rPr>
          <t>Examples</t>
        </r>
        <r>
          <rPr>
            <sz val="9"/>
            <color indexed="81"/>
            <rFont val="Tahoma"/>
            <family val="2"/>
          </rPr>
          <t xml:space="preserve"> : 
- This service is intended for the Research teams in charge of the application
- This service is intended for staff with a purchasing function.
- This service is strictly reserved for PSA personnel, it should not be assigned to external personnel.
- This service is intended only for technical accounts, it must not be assigned to users.</t>
        </r>
      </text>
    </comment>
    <comment ref="A7" authorId="0" shapeId="0" xr:uid="{00000000-0006-0000-0300-000004000000}">
      <text>
        <r>
          <rPr>
            <b/>
            <sz val="9"/>
            <color indexed="81"/>
            <rFont val="Tahoma"/>
            <family val="2"/>
          </rPr>
          <t xml:space="preserve">Assignment method
</t>
        </r>
        <r>
          <rPr>
            <sz val="9"/>
            <color indexed="81"/>
            <rFont val="Tahoma"/>
            <family val="2"/>
          </rPr>
          <t xml:space="preserve">Indicates how the role is assigned to a user:
- </t>
        </r>
        <r>
          <rPr>
            <u/>
            <sz val="9"/>
            <color indexed="81"/>
            <rFont val="Tahoma"/>
            <family val="2"/>
          </rPr>
          <t>REUNIS Access Service</t>
        </r>
        <r>
          <rPr>
            <sz val="9"/>
            <color indexed="81"/>
            <rFont val="Tahoma"/>
            <family val="2"/>
          </rPr>
          <t xml:space="preserve">: Indicates that the role is given via an access service in REUNIS
- </t>
        </r>
        <r>
          <rPr>
            <u/>
            <sz val="9"/>
            <color indexed="81"/>
            <rFont val="Tahoma"/>
            <family val="2"/>
          </rPr>
          <t>Mixed managemen</t>
        </r>
        <r>
          <rPr>
            <sz val="9"/>
            <color indexed="81"/>
            <rFont val="Tahoma"/>
            <family val="2"/>
          </rPr>
          <t xml:space="preserve">t: Indicates that the role requires both the assignment of an access service in REUNIS and the intervention of an administrator in the application to, for example, refine the scope of the data accessible by the user.
- </t>
        </r>
        <r>
          <rPr>
            <u/>
            <sz val="9"/>
            <color indexed="81"/>
            <rFont val="Tahoma"/>
            <family val="2"/>
          </rPr>
          <t>Local management</t>
        </r>
        <r>
          <rPr>
            <sz val="9"/>
            <color indexed="81"/>
            <rFont val="Tahoma"/>
            <family val="2"/>
          </rPr>
          <t xml:space="preserve">: By default, rights must be given by REUNIS access services, which allows a centralized view and administration of user rights. However, some roles can be automatically assigned to users by their appointment in a validation circuit (example: a hierarchical) or as the person responsible for an object in the application (example: an access service owner, a sponsor,...). 
</t>
        </r>
      </text>
    </comment>
    <comment ref="A8" authorId="0" shapeId="0" xr:uid="{00000000-0006-0000-0300-000005000000}">
      <text>
        <r>
          <rPr>
            <b/>
            <sz val="9"/>
            <color indexed="81"/>
            <rFont val="Tahoma"/>
            <family val="2"/>
          </rPr>
          <t xml:space="preserve">Access service code:
</t>
        </r>
        <r>
          <rPr>
            <sz val="9"/>
            <color indexed="81"/>
            <rFont val="Tahoma"/>
            <family val="2"/>
          </rPr>
          <t xml:space="preserve">This is the access service code in REUNIS. It is assigned to the creation of the access service and consists of the PRD defbi code in REFLEX for the application followed by 1 to 2 letters. 
By default, when creating the access service, the form offers you the first available letter in the alphabet but you can choose another one. The possible letter ranges are from A to Z and from VA to VZ.
</t>
        </r>
        <r>
          <rPr>
            <i/>
            <sz val="9"/>
            <color indexed="81"/>
            <rFont val="Tahoma"/>
            <family val="2"/>
          </rPr>
          <t>Example</t>
        </r>
        <r>
          <rPr>
            <sz val="9"/>
            <color indexed="81"/>
            <rFont val="Tahoma"/>
            <family val="2"/>
          </rPr>
          <t>: 
If you select the letter "K" and the PRD code of your application is "ANS", the access service will have the code "ANSK".</t>
        </r>
      </text>
    </comment>
    <comment ref="A9" authorId="0" shapeId="0" xr:uid="{00000000-0006-0000-0300-000006000000}">
      <text>
        <r>
          <rPr>
            <b/>
            <sz val="9"/>
            <color indexed="81"/>
            <rFont val="Tahoma"/>
            <family val="2"/>
          </rPr>
          <t xml:space="preserve">The level of delegation
</t>
        </r>
        <r>
          <rPr>
            <sz val="9"/>
            <color indexed="81"/>
            <rFont val="Tahoma"/>
            <family val="2"/>
          </rPr>
          <t xml:space="preserve">The delegation level is used to indicate which validation circuit will be required when assigning the access service to a new user.
- </t>
        </r>
        <r>
          <rPr>
            <u/>
            <sz val="9"/>
            <color indexed="81"/>
            <rFont val="Tahoma"/>
            <family val="2"/>
          </rPr>
          <t>ASL</t>
        </r>
        <r>
          <rPr>
            <sz val="9"/>
            <color indexed="81"/>
            <rFont val="Tahoma"/>
            <family val="2"/>
          </rPr>
          <t xml:space="preserve">: the service does not require any validation other than that of the ASL.  
- </t>
        </r>
        <r>
          <rPr>
            <u/>
            <sz val="9"/>
            <color indexed="81"/>
            <rFont val="Tahoma"/>
            <family val="2"/>
          </rPr>
          <t>ASL + Owner</t>
        </r>
        <r>
          <rPr>
            <sz val="9"/>
            <color indexed="81"/>
            <rFont val="Tahoma"/>
            <family val="2"/>
          </rPr>
          <t xml:space="preserve">: the allocation request must be validated by one of the service owners
- </t>
        </r>
        <r>
          <rPr>
            <u/>
            <sz val="9"/>
            <color indexed="81"/>
            <rFont val="Tahoma"/>
            <family val="2"/>
          </rPr>
          <t>Not applicable</t>
        </r>
        <r>
          <rPr>
            <sz val="9"/>
            <color indexed="81"/>
            <rFont val="Tahoma"/>
            <family val="2"/>
          </rPr>
          <t xml:space="preserve">: value to be entered if the right is not assigned by an access service
</t>
        </r>
        <r>
          <rPr>
            <i/>
            <sz val="9"/>
            <color indexed="81"/>
            <rFont val="Tahoma"/>
            <family val="2"/>
          </rPr>
          <t>Rule</t>
        </r>
        <r>
          <rPr>
            <sz val="9"/>
            <color indexed="81"/>
            <rFont val="Tahoma"/>
            <family val="2"/>
          </rPr>
          <t xml:space="preserve">: The following access services must be subject to ASL + owner validation:
- Roles dedicated to Technical Integrators 
- Dedicated research roles  
- The PFA roles of the application  
- The POA roles of the application  
- Business roles whose sensitivity is level 3 or 4  </t>
        </r>
      </text>
    </comment>
    <comment ref="A10" authorId="0" shapeId="0" xr:uid="{00000000-0006-0000-0300-000007000000}">
      <text>
        <r>
          <rPr>
            <b/>
            <sz val="9"/>
            <color indexed="81"/>
            <rFont val="Tahoma"/>
            <family val="2"/>
          </rPr>
          <t xml:space="preserve">Confidentiality :
</t>
        </r>
        <r>
          <rPr>
            <sz val="9"/>
            <color indexed="81"/>
            <rFont val="Tahoma"/>
            <family val="2"/>
          </rPr>
          <t xml:space="preserve">The confidentiality level of an access service refers to the level of confidentiality of the data to which an employee to whom the service has been assigned will have access. 
It is assessed according to the impact of the disclosure of information:
- 1: low - internal use
- 2: moderate - restricted diffusion
- 3: strong - confidential
- 4: criticism - secret
</t>
        </r>
        <r>
          <rPr>
            <i/>
            <sz val="9"/>
            <color indexed="81"/>
            <rFont val="Tahoma"/>
            <family val="2"/>
          </rPr>
          <t>Example</t>
        </r>
        <r>
          <rPr>
            <sz val="9"/>
            <color indexed="81"/>
            <rFont val="Tahoma"/>
            <family val="2"/>
          </rPr>
          <t>: 
An access service giving read or write access rights to data classified at accessibility level 4 ("secret") will have a confidentiality level of 4.</t>
        </r>
      </text>
    </comment>
    <comment ref="A11" authorId="0" shapeId="0" xr:uid="{00000000-0006-0000-0300-000008000000}">
      <text>
        <r>
          <rPr>
            <b/>
            <sz val="9"/>
            <color indexed="81"/>
            <rFont val="Tahoma"/>
            <family val="2"/>
          </rPr>
          <t xml:space="preserve">Integrity :
</t>
        </r>
        <r>
          <rPr>
            <sz val="9"/>
            <color indexed="81"/>
            <rFont val="Tahoma"/>
            <family val="2"/>
          </rPr>
          <t xml:space="preserve">The integrity level of an access service refers to the ability of an employee, who has been granted the right, to modify or destroy the accessed data. 
It is evaluated according to the impact of such an action:
- 1: Low
- 2: Moderate
- 3: Strong
- 4: critical
This assessment of the level of impacts can be done according to 4 axes: the economic axis to be favoured whenever possible, and the "client-image", legal and "human relations" axes.
</t>
        </r>
        <r>
          <rPr>
            <i/>
            <sz val="9"/>
            <color indexed="81"/>
            <rFont val="Tahoma"/>
            <family val="2"/>
          </rPr>
          <t>Example</t>
        </r>
        <r>
          <rPr>
            <sz val="9"/>
            <color indexed="81"/>
            <rFont val="Tahoma"/>
            <family val="2"/>
          </rPr>
          <t xml:space="preserve">: 
An access service giving read-only access rights will have an integrity level of 1 since the access service does not allow data to be modified.
</t>
        </r>
      </text>
    </comment>
    <comment ref="A12" authorId="0" shapeId="0" xr:uid="{00000000-0006-0000-0300-000009000000}">
      <text>
        <r>
          <rPr>
            <b/>
            <sz val="9"/>
            <color indexed="81"/>
            <rFont val="Tahoma"/>
            <family val="2"/>
          </rPr>
          <t xml:space="preserve">Sensitivity :
</t>
        </r>
        <r>
          <rPr>
            <sz val="9"/>
            <color indexed="81"/>
            <rFont val="Tahoma"/>
            <family val="2"/>
          </rPr>
          <t xml:space="preserve">The sensitivity level is the highest value between the confidentiality level and the integrity level. It is calculated automatically, so there is no need to enter it in this matrix.
</t>
        </r>
        <r>
          <rPr>
            <i/>
            <sz val="9"/>
            <color indexed="81"/>
            <rFont val="Tahoma"/>
            <family val="2"/>
          </rPr>
          <t>Example</t>
        </r>
        <r>
          <rPr>
            <sz val="9"/>
            <color indexed="81"/>
            <rFont val="Tahoma"/>
            <family val="2"/>
          </rPr>
          <t xml:space="preserve"> : 
If confidentiality = 1 and integrity = 2, the sensitivity level will be equal to 2.
</t>
        </r>
      </text>
    </comment>
    <comment ref="A13" authorId="0" shapeId="0" xr:uid="{00000000-0006-0000-0300-00000A000000}">
      <text>
        <r>
          <rPr>
            <b/>
            <sz val="9"/>
            <color indexed="81"/>
            <rFont val="Tahoma"/>
            <family val="2"/>
          </rPr>
          <t xml:space="preserve">Valorization :
</t>
        </r>
        <r>
          <rPr>
            <sz val="9"/>
            <color indexed="81"/>
            <rFont val="Tahoma"/>
            <family val="2"/>
          </rPr>
          <t xml:space="preserve">An access service can be valued in order to manage different perimeters for the same profile. The purpose of this method is to limit the administrative and updating costs of access services.
There are two types of valuations:  
 - Value (of the £domain£ type) selected by the ASL when requesting the creation of a copy of SA for its benefit.
- Value (of the $domain$ type) defined by the service owner when requesting the creation of a copy for the ASL.
You must indicate here:
- "None" if the service is not valuable
- Possible valorizations when the service must be valued by the ASL
- The information to be transmitted to the owner when the service must be valued by the owner 
And in general, any information that will allow you to choose the valuation corresponding to the user's needs.
</t>
        </r>
        <r>
          <rPr>
            <i/>
            <sz val="9"/>
            <color indexed="81"/>
            <rFont val="Tahoma"/>
            <family val="2"/>
          </rPr>
          <t>Example 1</t>
        </r>
        <r>
          <rPr>
            <sz val="9"/>
            <color indexed="81"/>
            <rFont val="Tahoma"/>
            <family val="2"/>
          </rPr>
          <t xml:space="preserve"> :
This service must be valued by the ASL. 
The valuation corresponds to the country for which the user is entitled to view the data.
</t>
        </r>
        <r>
          <rPr>
            <i/>
            <sz val="9"/>
            <color indexed="81"/>
            <rFont val="Tahoma"/>
            <family val="2"/>
          </rPr>
          <t>Example 2</t>
        </r>
        <r>
          <rPr>
            <sz val="9"/>
            <color indexed="81"/>
            <rFont val="Tahoma"/>
            <family val="2"/>
          </rPr>
          <t xml:space="preserve"> :
This service must be valued by the owner.
Please indicate to the owner when requesting a new copy of the service the Brand and Country concerned.
</t>
        </r>
      </text>
    </comment>
    <comment ref="A14" authorId="0" shapeId="0" xr:uid="{00000000-0006-0000-0300-00000B000000}">
      <text>
        <r>
          <rPr>
            <b/>
            <sz val="9"/>
            <color indexed="81"/>
            <rFont val="Tahoma"/>
            <family val="2"/>
          </rPr>
          <t xml:space="preserve">Incompatibilities
</t>
        </r>
        <r>
          <rPr>
            <sz val="9"/>
            <color indexed="81"/>
            <rFont val="Tahoma"/>
            <family val="2"/>
          </rPr>
          <t xml:space="preserve">The rights assigned to a user may be incompatible with other rights or certain functions. 
For example:
- you cannot be both a person placing an order and validating the payment of the order
- a service of access to sensitive information cannot be given to a temporary person
These incompatibilities correspond to a need for Segregation Of Duty (SOD). 
Any incompatibilities are described in full so that the ASL carries out the necessary control before granting a right of access.
</t>
        </r>
      </text>
    </comment>
    <comment ref="A16" authorId="0" shapeId="0" xr:uid="{00000000-0006-0000-0300-00000C000000}">
      <text>
        <r>
          <rPr>
            <sz val="9"/>
            <color indexed="81"/>
            <rFont val="Tahoma"/>
            <family val="2"/>
          </rPr>
          <t>List below all the functionalities of the application and enter for each "X" in the role column if the role is authorized to access the functionality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VALERIE CHASSAING - J565488</author>
  </authors>
  <commentList>
    <comment ref="A8" authorId="0" shapeId="0" xr:uid="{B670A1D6-C4DE-42D2-9EDE-B863AFDB2616}">
      <text>
        <r>
          <rPr>
            <b/>
            <sz val="9"/>
            <color indexed="81"/>
            <rFont val="Tahoma"/>
            <family val="2"/>
          </rPr>
          <t xml:space="preserve">Label :
</t>
        </r>
        <r>
          <rPr>
            <sz val="9"/>
            <color indexed="81"/>
            <rFont val="Tahoma"/>
            <family val="2"/>
          </rPr>
          <t xml:space="preserve">This is the name of the role or access right. If this role is assigned by an access service in REUNIS, it is the information that the ASL will see first when it looks for an access service to assign it.
It is therefore important that it is clear, concise and allows to select among all the services that the application has, the one that corresponds to the user's need.
It must contain at least:
- The name of the access right or role that the service will give in the application 
- The type of access to the application data (when not role-induced)
Acronyms and abbreviations must be explained.
</t>
        </r>
        <r>
          <rPr>
            <i/>
            <sz val="9"/>
            <color indexed="81"/>
            <rFont val="Tahoma"/>
            <family val="2"/>
          </rPr>
          <t xml:space="preserve">Examples </t>
        </r>
        <r>
          <rPr>
            <sz val="9"/>
            <color indexed="81"/>
            <rFont val="Tahoma"/>
            <family val="2"/>
          </rPr>
          <t xml:space="preserve">
- Functional Application Pilot (PFA)
- Auditor 
- Purchaser - Access to supplier evaluations in modification 
- Accounting Manager - Consulting Access
</t>
        </r>
      </text>
    </comment>
    <comment ref="A9" authorId="0" shapeId="0" xr:uid="{A1B5B819-404A-457F-BCDD-67D57FCBA46E}">
      <text>
        <r>
          <rPr>
            <b/>
            <sz val="9"/>
            <color indexed="81"/>
            <rFont val="Tahoma"/>
            <family val="2"/>
          </rPr>
          <t xml:space="preserve">Description :
</t>
        </r>
        <r>
          <rPr>
            <sz val="9"/>
            <color indexed="81"/>
            <rFont val="Tahoma"/>
            <family val="2"/>
          </rPr>
          <t xml:space="preserve">The description completes the wording and more precisely describes what this role or right can do in the application. It must list the main functions of the application that will be accessible to the user who will own it (the details of the functions will be described in the access rights matrix)
</t>
        </r>
        <r>
          <rPr>
            <i/>
            <sz val="9"/>
            <color indexed="81"/>
            <rFont val="Tahoma"/>
            <family val="2"/>
          </rPr>
          <t>Example 1</t>
        </r>
        <r>
          <rPr>
            <sz val="9"/>
            <color indexed="81"/>
            <rFont val="Tahoma"/>
            <family val="2"/>
          </rPr>
          <t xml:space="preserve">
This role allows you to: 
- create, modify, search and consult external files and missions. 
- consult the action logs. 
- export research results 
- follow up on its creation requests
</t>
        </r>
        <r>
          <rPr>
            <i/>
            <sz val="9"/>
            <color indexed="81"/>
            <rFont val="Tahoma"/>
            <family val="2"/>
          </rPr>
          <t>Example 2</t>
        </r>
        <r>
          <rPr>
            <sz val="9"/>
            <color indexed="81"/>
            <rFont val="Tahoma"/>
            <family val="2"/>
          </rPr>
          <t xml:space="preserve">
This role allows you to consult the spare parts catalogues for a given brand.
</t>
        </r>
        <r>
          <rPr>
            <i/>
            <sz val="9"/>
            <color indexed="81"/>
            <rFont val="Tahoma"/>
            <family val="2"/>
          </rPr>
          <t>Example 3</t>
        </r>
        <r>
          <rPr>
            <sz val="9"/>
            <color indexed="81"/>
            <rFont val="Tahoma"/>
            <family val="2"/>
          </rPr>
          <t xml:space="preserve">
This role gives access to servers in production on the application perimeter. It allows any type of industrialization action to be carried out without modifying user master data.
</t>
        </r>
      </text>
    </comment>
    <comment ref="A10" authorId="0" shapeId="0" xr:uid="{4E8D0925-7538-4D93-8C95-FF3B05968D98}">
      <text>
        <r>
          <rPr>
            <b/>
            <sz val="9"/>
            <color indexed="81"/>
            <rFont val="Tahoma"/>
            <family val="2"/>
          </rPr>
          <t xml:space="preserve">User type :
</t>
        </r>
        <r>
          <rPr>
            <sz val="9"/>
            <color indexed="81"/>
            <rFont val="Tahoma"/>
            <family val="2"/>
          </rPr>
          <t xml:space="preserve">The type of user allows you to know who can potentially request the access service. 
This information should alert an ASL if the person making the request does not match the type of user described.
</t>
        </r>
        <r>
          <rPr>
            <i/>
            <sz val="9"/>
            <color indexed="81"/>
            <rFont val="Tahoma"/>
            <family val="2"/>
          </rPr>
          <t>Best practices</t>
        </r>
        <r>
          <rPr>
            <sz val="9"/>
            <color indexed="81"/>
            <rFont val="Tahoma"/>
            <family val="2"/>
          </rPr>
          <t xml:space="preserve">: Avoid giving the name "organization chart" of an entity that may change in the event of reorganization, prefer a functional description.
</t>
        </r>
        <r>
          <rPr>
            <i/>
            <sz val="9"/>
            <color indexed="81"/>
            <rFont val="Tahoma"/>
            <family val="2"/>
          </rPr>
          <t xml:space="preserve">
Examples</t>
        </r>
        <r>
          <rPr>
            <sz val="9"/>
            <color indexed="81"/>
            <rFont val="Tahoma"/>
            <family val="2"/>
          </rPr>
          <t xml:space="preserve"> : 
- This service is intended for the Research teams in charge of the application
- This service is intended for staff with a purchasing function.
- This service is strictly reserved for PSA personnel, it should not be assigned to external personnel.
- This service is intended only for technical accounts, it must not be assigned to users.</t>
        </r>
      </text>
    </comment>
    <comment ref="A11" authorId="0" shapeId="0" xr:uid="{0FE8BB49-DE10-40B0-B824-FEE31911B332}">
      <text>
        <r>
          <rPr>
            <b/>
            <sz val="9"/>
            <color indexed="81"/>
            <rFont val="Tahoma"/>
            <family val="2"/>
          </rPr>
          <t xml:space="preserve">Assignment method
</t>
        </r>
        <r>
          <rPr>
            <sz val="9"/>
            <color indexed="81"/>
            <rFont val="Tahoma"/>
            <family val="2"/>
          </rPr>
          <t xml:space="preserve">Indicates how the role is assigned to a user:
- </t>
        </r>
        <r>
          <rPr>
            <u/>
            <sz val="9"/>
            <color indexed="81"/>
            <rFont val="Tahoma"/>
            <family val="2"/>
          </rPr>
          <t>REUNIS Access Service</t>
        </r>
        <r>
          <rPr>
            <sz val="9"/>
            <color indexed="81"/>
            <rFont val="Tahoma"/>
            <family val="2"/>
          </rPr>
          <t xml:space="preserve"> : Indicates that the role is given via an access service in REUNIS
- </t>
        </r>
        <r>
          <rPr>
            <u/>
            <sz val="9"/>
            <color indexed="81"/>
            <rFont val="Tahoma"/>
            <family val="2"/>
          </rPr>
          <t>Mixed management</t>
        </r>
        <r>
          <rPr>
            <sz val="9"/>
            <color indexed="81"/>
            <rFont val="Tahoma"/>
            <family val="2"/>
          </rPr>
          <t xml:space="preserve"> : Indicates that the role requires both the assignment of an access service in REUNIS and the intervention of an administrator in the application to, for example, refine the scope of the data accessible by the user.
- </t>
        </r>
        <r>
          <rPr>
            <u/>
            <sz val="9"/>
            <color indexed="81"/>
            <rFont val="Tahoma"/>
            <family val="2"/>
          </rPr>
          <t>Local managemen</t>
        </r>
        <r>
          <rPr>
            <sz val="9"/>
            <color indexed="81"/>
            <rFont val="Tahoma"/>
            <family val="2"/>
          </rPr>
          <t xml:space="preserve">t : By default, rights must be given by REUNIS access services, which allows a centralized view and administration of user rights. However, some roles can be automatically assigned to users by their appointment in a validation circuit (example: a hierarchical) or as the person responsible for an object in the application (example: an access service owner, a sponsor,...). </t>
        </r>
      </text>
    </comment>
    <comment ref="A12" authorId="0" shapeId="0" xr:uid="{2F5060D4-9C94-4859-BED9-FD9466F1947A}">
      <text>
        <r>
          <rPr>
            <b/>
            <sz val="9"/>
            <color indexed="81"/>
            <rFont val="Tahoma"/>
            <family val="2"/>
          </rPr>
          <t xml:space="preserve">Access service code:
</t>
        </r>
        <r>
          <rPr>
            <sz val="9"/>
            <color indexed="81"/>
            <rFont val="Tahoma"/>
            <family val="2"/>
          </rPr>
          <t xml:space="preserve">This is the access service code in REUNIS. It is assigned to the creation of the access service and consists of the PRD defbi code in REFLEX for the application followed by 1 to 2 letters. 
By default, when creating the access service, the form offers you the first available letter in the alphabet but you can choose another one. The possible letter ranges are from A to Z and from VA to VZ.
</t>
        </r>
        <r>
          <rPr>
            <i/>
            <sz val="9"/>
            <color indexed="81"/>
            <rFont val="Tahoma"/>
            <family val="2"/>
          </rPr>
          <t>Example</t>
        </r>
        <r>
          <rPr>
            <sz val="9"/>
            <color indexed="81"/>
            <rFont val="Tahoma"/>
            <family val="2"/>
          </rPr>
          <t xml:space="preserve">: 
If you select the letter "K" and the PRD code of your application is "ANS", the access service will have the code "ANSK".
</t>
        </r>
      </text>
    </comment>
    <comment ref="A13" authorId="0" shapeId="0" xr:uid="{6B92A411-92DC-45DA-AF0C-DCE01999D19F}">
      <text>
        <r>
          <rPr>
            <b/>
            <sz val="9"/>
            <color indexed="81"/>
            <rFont val="Tahoma"/>
            <family val="2"/>
          </rPr>
          <t xml:space="preserve">The level of delegation
</t>
        </r>
        <r>
          <rPr>
            <sz val="9"/>
            <color indexed="81"/>
            <rFont val="Tahoma"/>
            <family val="2"/>
          </rPr>
          <t xml:space="preserve">The delegation level is used to indicate which validation circuit will be required when assigning the access service to a new user.
- </t>
        </r>
        <r>
          <rPr>
            <u/>
            <sz val="9"/>
            <color indexed="81"/>
            <rFont val="Tahoma"/>
            <family val="2"/>
          </rPr>
          <t>AS</t>
        </r>
        <r>
          <rPr>
            <sz val="9"/>
            <color indexed="81"/>
            <rFont val="Tahoma"/>
            <family val="2"/>
          </rPr>
          <t xml:space="preserve">L: the service does not require any validation other than that of the ASL.  
- </t>
        </r>
        <r>
          <rPr>
            <u/>
            <sz val="9"/>
            <color indexed="81"/>
            <rFont val="Tahoma"/>
            <family val="2"/>
          </rPr>
          <t>ASL + Owner</t>
        </r>
        <r>
          <rPr>
            <sz val="9"/>
            <color indexed="81"/>
            <rFont val="Tahoma"/>
            <family val="2"/>
          </rPr>
          <t xml:space="preserve">: the allocation request must be validated by one of the service owners
- </t>
        </r>
        <r>
          <rPr>
            <u/>
            <sz val="9"/>
            <color indexed="81"/>
            <rFont val="Tahoma"/>
            <family val="2"/>
          </rPr>
          <t>Not applicable</t>
        </r>
        <r>
          <rPr>
            <sz val="9"/>
            <color indexed="81"/>
            <rFont val="Tahoma"/>
            <family val="2"/>
          </rPr>
          <t xml:space="preserve">: value to be entered if the right is not assigned by an access service
</t>
        </r>
        <r>
          <rPr>
            <i/>
            <sz val="9"/>
            <color indexed="81"/>
            <rFont val="Tahoma"/>
            <family val="2"/>
          </rPr>
          <t>Rule</t>
        </r>
        <r>
          <rPr>
            <sz val="9"/>
            <color indexed="81"/>
            <rFont val="Tahoma"/>
            <family val="2"/>
          </rPr>
          <t xml:space="preserve"> : The following access services must be subject to ASL + owner validation:
- Roles dedicated to Technical Integrators 
- Dedicated research roles  
- The PFA roles of the application  
- The POA roles of the application  
- Business roles whose sensitivity is level 3 or 4  
</t>
        </r>
      </text>
    </comment>
    <comment ref="A14" authorId="0" shapeId="0" xr:uid="{EE4B322C-382B-48C1-BA1C-96A2501A8112}">
      <text>
        <r>
          <rPr>
            <b/>
            <sz val="9"/>
            <color indexed="81"/>
            <rFont val="Tahoma"/>
            <family val="2"/>
          </rPr>
          <t xml:space="preserve">Confidentiality :
</t>
        </r>
        <r>
          <rPr>
            <sz val="9"/>
            <color indexed="81"/>
            <rFont val="Tahoma"/>
            <family val="2"/>
          </rPr>
          <t xml:space="preserve">The confidentiality level of an access service refers to the level of confidentiality of the data to which an employee to whom the service has been assigned will have access. 
It is assessed according to the impact of the disclosure of information:
- 1: low - internal use
- 2: moderate - restricted diffusion
- 3: strong - confidential
- 4: criticism - secret
</t>
        </r>
        <r>
          <rPr>
            <i/>
            <sz val="9"/>
            <color indexed="81"/>
            <rFont val="Tahoma"/>
            <family val="2"/>
          </rPr>
          <t xml:space="preserve">
Example</t>
        </r>
        <r>
          <rPr>
            <sz val="9"/>
            <color indexed="81"/>
            <rFont val="Tahoma"/>
            <family val="2"/>
          </rPr>
          <t>: 
An access service giving read or write access rights to data classified at accessibility level 4 ("secret") will have a confidentiality level of 4.</t>
        </r>
      </text>
    </comment>
    <comment ref="A15" authorId="0" shapeId="0" xr:uid="{0AC089A6-DF53-4831-A7BC-464059B446EE}">
      <text>
        <r>
          <rPr>
            <b/>
            <sz val="9"/>
            <color indexed="81"/>
            <rFont val="Tahoma"/>
            <family val="2"/>
          </rPr>
          <t xml:space="preserve">Integrity :
</t>
        </r>
        <r>
          <rPr>
            <sz val="9"/>
            <color indexed="81"/>
            <rFont val="Tahoma"/>
            <family val="2"/>
          </rPr>
          <t xml:space="preserve">The integrity level of an access service refers to the ability of an employee, who has been granted the right, to modify or destroy the accessed data. 
It is evaluated according to the impact of such an action:
- 1: Low
- 2: Moderate
- 3: Strong
- 4: critical
This assessment of the level of impacts can be done according to 4 axes: the economic axis to be favoured whenever possible, and the "client-image", legal and "human relations" axes.
</t>
        </r>
        <r>
          <rPr>
            <i/>
            <sz val="9"/>
            <color indexed="81"/>
            <rFont val="Tahoma"/>
            <family val="2"/>
          </rPr>
          <t>Example</t>
        </r>
        <r>
          <rPr>
            <sz val="9"/>
            <color indexed="81"/>
            <rFont val="Tahoma"/>
            <family val="2"/>
          </rPr>
          <t xml:space="preserve"> : 
An access service giving read-only access rights will have an integrity level of 1 since the access service does not allow data to be modified.
</t>
        </r>
      </text>
    </comment>
    <comment ref="A16" authorId="0" shapeId="0" xr:uid="{2AAFD087-117F-4D94-BD4C-A3FD2ECAC94B}">
      <text>
        <r>
          <rPr>
            <b/>
            <sz val="9"/>
            <color indexed="81"/>
            <rFont val="Tahoma"/>
            <family val="2"/>
          </rPr>
          <t xml:space="preserve">Sensitivity :
</t>
        </r>
        <r>
          <rPr>
            <sz val="9"/>
            <color indexed="81"/>
            <rFont val="Tahoma"/>
            <family val="2"/>
          </rPr>
          <t xml:space="preserve">
The sensitivity level is the highest value between the confidentiality level and the integrity level. It is calculated automatically, so there is no need to enter it in this matrix.
</t>
        </r>
        <r>
          <rPr>
            <i/>
            <sz val="9"/>
            <color indexed="81"/>
            <rFont val="Tahoma"/>
            <family val="2"/>
          </rPr>
          <t>Example</t>
        </r>
        <r>
          <rPr>
            <sz val="9"/>
            <color indexed="81"/>
            <rFont val="Tahoma"/>
            <family val="2"/>
          </rPr>
          <t xml:space="preserve"> : 
If confidentiality = 1 and integrity = 2, the sensitivity level will be equal to 2.
</t>
        </r>
      </text>
    </comment>
    <comment ref="A17" authorId="0" shapeId="0" xr:uid="{4977F32F-D290-4CB0-B3E8-5F69B60B5A6B}">
      <text>
        <r>
          <rPr>
            <b/>
            <sz val="9"/>
            <color indexed="81"/>
            <rFont val="Tahoma"/>
            <family val="2"/>
          </rPr>
          <t xml:space="preserve">Valorization :
</t>
        </r>
        <r>
          <rPr>
            <sz val="9"/>
            <color indexed="81"/>
            <rFont val="Tahoma"/>
            <family val="2"/>
          </rPr>
          <t xml:space="preserve">An access service can be valued in order to manage different perimeters for the same profile. The purpose of this method is to limit the administrative and updating costs of access services.
There are two types of valuations:  
 - Value (of the £domain£ type) selected by the ASL when requesting the creation of a copy of SA for its benefit.
- Value (of the $domain$ type) defined by the service owner when requesting the creation of a copy for the ASL.
You must indicate here:
- "None" if the service is not valuable
- Possible valorizations when the service must be valued by the ASL
- The information to be transmitted to the owner when the service must be valued by the owner 
And in general, any information that will allow you to choose the valuation corresponding to the user's needs.
</t>
        </r>
        <r>
          <rPr>
            <i/>
            <sz val="9"/>
            <color indexed="81"/>
            <rFont val="Tahoma"/>
            <family val="2"/>
          </rPr>
          <t xml:space="preserve">
Example 1</t>
        </r>
        <r>
          <rPr>
            <sz val="9"/>
            <color indexed="81"/>
            <rFont val="Tahoma"/>
            <family val="2"/>
          </rPr>
          <t xml:space="preserve"> :
This service must be valued by the ASL. 
The valuation corresponds to the country for which the user is entitled to view the data.
</t>
        </r>
        <r>
          <rPr>
            <i/>
            <sz val="9"/>
            <color indexed="81"/>
            <rFont val="Tahoma"/>
            <family val="2"/>
          </rPr>
          <t>Example 2</t>
        </r>
        <r>
          <rPr>
            <sz val="9"/>
            <color indexed="81"/>
            <rFont val="Tahoma"/>
            <family val="2"/>
          </rPr>
          <t xml:space="preserve"> :
This service must be valued by the owner.
Please indicate to the owner when requesting a new copy of the service the Brand and Country concerned.
</t>
        </r>
      </text>
    </comment>
    <comment ref="A18" authorId="0" shapeId="0" xr:uid="{0E498B8A-6198-406C-9FC9-C831AC1DAC70}">
      <text>
        <r>
          <rPr>
            <b/>
            <sz val="9"/>
            <color indexed="81"/>
            <rFont val="Tahoma"/>
            <family val="2"/>
          </rPr>
          <t xml:space="preserve">Incompatibilities
</t>
        </r>
        <r>
          <rPr>
            <sz val="9"/>
            <color indexed="81"/>
            <rFont val="Tahoma"/>
            <family val="2"/>
          </rPr>
          <t xml:space="preserve">The rights assigned to a user may be incompatible with other rights or certain functions. 
For example:
- you cannot be both a person placing an order and validating the payment of the order
- a service of access to sensitive information cannot be given to a temporary person
These incompatibilities correspond to a need for Segregation Of Duty (SOD). 
Any incompatibilities are described in full so that the ASL carries out the necessary control before granting a right of access.
</t>
        </r>
      </text>
    </comment>
    <comment ref="A19" authorId="0" shapeId="0" xr:uid="{8F0FBCB5-3121-4CAF-925A-4D45E85D3170}">
      <text>
        <r>
          <rPr>
            <sz val="9"/>
            <color indexed="81"/>
            <rFont val="Tahoma"/>
            <family val="2"/>
          </rPr>
          <t xml:space="preserve">List below all the technical environments of the application and enter "X" for each one in the profile column if it allows access.
</t>
        </r>
      </text>
    </comment>
    <comment ref="A23" authorId="0" shapeId="0" xr:uid="{1AC38D0B-21FC-45A2-B3DE-A8CBF6D813BD}">
      <text>
        <r>
          <rPr>
            <sz val="9"/>
            <color indexed="81"/>
            <rFont val="Tahoma"/>
            <family val="2"/>
          </rPr>
          <t xml:space="preserve">Indicate the name of the environment. 
</t>
        </r>
        <r>
          <rPr>
            <i/>
            <sz val="9"/>
            <color indexed="81"/>
            <rFont val="Tahoma"/>
            <family val="2"/>
          </rPr>
          <t>Example: Qualification, Test,...</t>
        </r>
        <r>
          <rPr>
            <sz val="9"/>
            <color indexed="81"/>
            <rFont val="Tahoma"/>
            <family val="2"/>
          </rPr>
          <t xml:space="preserve">
</t>
        </r>
      </text>
    </comment>
    <comment ref="A24" authorId="0" shapeId="0" xr:uid="{F2545CD4-CA34-4B66-A1D4-0CDB43B20503}">
      <text>
        <r>
          <rPr>
            <sz val="9"/>
            <color indexed="81"/>
            <rFont val="Tahoma"/>
            <family val="2"/>
          </rPr>
          <t xml:space="preserve">Indicate the name of the environment. 
</t>
        </r>
        <r>
          <rPr>
            <i/>
            <sz val="9"/>
            <color indexed="81"/>
            <rFont val="Tahoma"/>
            <family val="2"/>
          </rPr>
          <t>Example: Qualification, Test,...</t>
        </r>
        <r>
          <rPr>
            <sz val="9"/>
            <color indexed="81"/>
            <rFont val="Tahoma"/>
            <family val="2"/>
          </rPr>
          <t xml:space="preserve">
</t>
        </r>
      </text>
    </comment>
    <comment ref="A25" authorId="0" shapeId="0" xr:uid="{F07C8C49-88E6-4468-AF8C-40F1E5A4423B}">
      <text>
        <r>
          <rPr>
            <sz val="9"/>
            <color indexed="81"/>
            <rFont val="Tahoma"/>
            <family val="2"/>
          </rPr>
          <t xml:space="preserve">Indicate the name of the environment. 
</t>
        </r>
        <r>
          <rPr>
            <i/>
            <sz val="9"/>
            <color indexed="81"/>
            <rFont val="Tahoma"/>
            <family val="2"/>
          </rPr>
          <t>Example: Qualification, Test,...</t>
        </r>
        <r>
          <rPr>
            <sz val="9"/>
            <color indexed="81"/>
            <rFont val="Tahoma"/>
            <family val="2"/>
          </rPr>
          <t xml:space="preserve">
</t>
        </r>
      </text>
    </comment>
    <comment ref="A26" authorId="0" shapeId="0" xr:uid="{D021BC97-2781-4F1D-AB2F-2A6430ED1939}">
      <text>
        <r>
          <rPr>
            <sz val="9"/>
            <color indexed="81"/>
            <rFont val="Tahoma"/>
            <family val="2"/>
          </rPr>
          <t xml:space="preserve">Indicate the name of the environment. 
</t>
        </r>
        <r>
          <rPr>
            <i/>
            <sz val="9"/>
            <color indexed="81"/>
            <rFont val="Tahoma"/>
            <family val="2"/>
          </rPr>
          <t>Example: Qualification, Test,...</t>
        </r>
        <r>
          <rPr>
            <sz val="9"/>
            <color indexed="81"/>
            <rFont val="Tahoma"/>
            <family val="2"/>
          </rPr>
          <t xml:space="preserve">
</t>
        </r>
      </text>
    </comment>
    <comment ref="A27" authorId="0" shapeId="0" xr:uid="{DFE915A1-0444-4406-BD8B-5E3EF7BA4D16}">
      <text>
        <r>
          <rPr>
            <sz val="9"/>
            <color indexed="81"/>
            <rFont val="Tahoma"/>
            <family val="2"/>
          </rPr>
          <t xml:space="preserve">Indicate the name of the environment. 
</t>
        </r>
        <r>
          <rPr>
            <i/>
            <sz val="9"/>
            <color indexed="81"/>
            <rFont val="Tahoma"/>
            <family val="2"/>
          </rPr>
          <t>Example: Qualification, Test,...</t>
        </r>
        <r>
          <rPr>
            <sz val="9"/>
            <color indexed="81"/>
            <rFont val="Tahoma"/>
            <family val="2"/>
          </rPr>
          <t xml:space="preserve">
</t>
        </r>
      </text>
    </comment>
    <comment ref="A28" authorId="0" shapeId="0" xr:uid="{E0E20846-EF2F-4E70-9523-B5AB5C3D6D16}">
      <text>
        <r>
          <rPr>
            <sz val="9"/>
            <color indexed="81"/>
            <rFont val="Tahoma"/>
            <family val="2"/>
          </rPr>
          <t xml:space="preserve">Indicate the name of the environment. 
</t>
        </r>
        <r>
          <rPr>
            <i/>
            <sz val="9"/>
            <color indexed="81"/>
            <rFont val="Tahoma"/>
            <family val="2"/>
          </rPr>
          <t>Example: Qualification, Test,...</t>
        </r>
        <r>
          <rPr>
            <sz val="9"/>
            <color indexed="81"/>
            <rFont val="Tahoma"/>
            <family val="2"/>
          </rPr>
          <t xml:space="preserve">
</t>
        </r>
      </text>
    </comment>
    <comment ref="A30" authorId="0" shapeId="0" xr:uid="{9D99431B-FBB1-4221-B98E-0E85E4682DFF}">
      <text>
        <r>
          <rPr>
            <sz val="9"/>
            <color indexed="81"/>
            <rFont val="Tahoma"/>
            <family val="2"/>
          </rPr>
          <t>Choose in the list the type of access that gives the profile to businness data</t>
        </r>
      </text>
    </comment>
  </commentList>
</comments>
</file>

<file path=xl/sharedStrings.xml><?xml version="1.0" encoding="utf-8"?>
<sst xmlns="http://schemas.openxmlformats.org/spreadsheetml/2006/main" count="640" uniqueCount="240">
  <si>
    <t>SIBS_M2C_DIR_OPE_DEL_AWS_001</t>
  </si>
  <si>
    <t>THIS DOCUMENT MAY BE NOT CURRENT</t>
  </si>
  <si>
    <t>THANK YOU TO DOWNLOAD THE CURRENT VERSION: HERE</t>
  </si>
  <si>
    <t>Reference to initial template</t>
  </si>
  <si>
    <t>Revision</t>
  </si>
  <si>
    <t>Version</t>
  </si>
  <si>
    <t>Date</t>
  </si>
  <si>
    <t>Author</t>
  </si>
  <si>
    <t>Content</t>
  </si>
  <si>
    <t>1.0</t>
  </si>
  <si>
    <t>A. PIERRE</t>
  </si>
  <si>
    <t>Initialisation</t>
  </si>
  <si>
    <t>2.0</t>
  </si>
  <si>
    <t>remove CI admin grant to OPS; initiate revision and reference</t>
  </si>
  <si>
    <t>2.1</t>
  </si>
  <si>
    <t>A. PIERRE, D. SALMAN, J. GIGOUT, S. BRETONNEAU</t>
  </si>
  <si>
    <t>Add rights for management console</t>
  </si>
  <si>
    <t>A. BONNICI, D. SALMAN</t>
  </si>
  <si>
    <t>Split the DEV, PRE and PRD AWS Console roles into separate profile columns</t>
  </si>
  <si>
    <t>Rights Matrix</t>
  </si>
  <si>
    <t>Theme</t>
  </si>
  <si>
    <t>This repository contains the matrix of access rights that identifies for an application, the different access rights, the types of people likely to receive them and how they are assigned
This matrix must be completed before any request to create or modify an access service in REUNIS.</t>
  </si>
  <si>
    <t>Cette matrice doit obligatoirement être complétée avant toute demande de création ou de modification de service d'accès dans REUNIS</t>
  </si>
  <si>
    <t>En savoir plus sur la gestion des droits d'accès d'une application ...</t>
  </si>
  <si>
    <t>Synthesis</t>
  </si>
  <si>
    <t>This document contains three types of information:</t>
  </si>
  <si>
    <t xml:space="preserve">Informations APPLICATION :  </t>
  </si>
  <si>
    <t>Description of the application and information required to manage access rights (information that must be known to Reflex)</t>
  </si>
  <si>
    <t>BUSINESS rights Matrix</t>
  </si>
  <si>
    <t>List and description of all business access rights that allow the application to be used in a production environment</t>
  </si>
  <si>
    <t xml:space="preserve">TECHNICAL Rights Matrix : </t>
  </si>
  <si>
    <t>List and description of all technical access rights that allow the development, maintenance and testing of the application</t>
  </si>
  <si>
    <t>How to fill in the document</t>
  </si>
  <si>
    <t>The cells containing the line headers contain comments that detail what needs to be filled in (to make the comment appear, simply move the mouse over the cell)</t>
  </si>
  <si>
    <t>Useful links</t>
  </si>
  <si>
    <t>Tools</t>
  </si>
  <si>
    <t>REFLEX</t>
  </si>
  <si>
    <t>REUNIS</t>
  </si>
  <si>
    <t>WEB SECULOGIQ</t>
  </si>
  <si>
    <t>Revision index</t>
  </si>
  <si>
    <t>Writer</t>
  </si>
  <si>
    <t>Update</t>
  </si>
  <si>
    <t>V. Chassaing</t>
  </si>
  <si>
    <t>Redesign of the existing version</t>
  </si>
  <si>
    <t>Description production application</t>
  </si>
  <si>
    <t xml:space="preserve">REFLEX name of the technical production application </t>
  </si>
  <si>
    <t>REFLEX name of the functional application</t>
  </si>
  <si>
    <t>DICT</t>
  </si>
  <si>
    <t>PRD Code</t>
  </si>
  <si>
    <t>Functional description of the application</t>
  </si>
  <si>
    <t>Profile 1</t>
  </si>
  <si>
    <t>Profile 2</t>
  </si>
  <si>
    <t>Profile 3</t>
  </si>
  <si>
    <t>Profile 4</t>
  </si>
  <si>
    <t>Profile 5</t>
  </si>
  <si>
    <t>Profile 6</t>
  </si>
  <si>
    <t>Profile 7</t>
  </si>
  <si>
    <t>Profile 8</t>
  </si>
  <si>
    <t>Profile 9</t>
  </si>
  <si>
    <t>Profile 10</t>
  </si>
  <si>
    <t>Label</t>
  </si>
  <si>
    <t>Description</t>
  </si>
  <si>
    <t>User type</t>
  </si>
  <si>
    <t>Assignment method</t>
  </si>
  <si>
    <t>Access service code</t>
  </si>
  <si>
    <t>Level of delegation</t>
  </si>
  <si>
    <t>Confidentiality</t>
  </si>
  <si>
    <t>Integrity</t>
  </si>
  <si>
    <t>Sensitivity</t>
  </si>
  <si>
    <t>Valorization</t>
  </si>
  <si>
    <t>Incompatibilities</t>
  </si>
  <si>
    <t>Access rights matrix - Technical profiles</t>
  </si>
  <si>
    <t>Have you derogation from Cloud Center Tools for DEV+OPS beeing cumulative?</t>
  </si>
  <si>
    <t>SA to be created under derogation of Cloud Center Tools</t>
  </si>
  <si>
    <r>
      <t xml:space="preserve">Variable parts are mentionned in </t>
    </r>
    <r>
      <rPr>
        <b/>
        <sz val="11"/>
        <color rgb="FF00B050"/>
        <rFont val="Calibri"/>
        <family val="2"/>
        <scheme val="minor"/>
      </rPr>
      <t>green</t>
    </r>
  </si>
  <si>
    <r>
      <t xml:space="preserve">Environment: </t>
    </r>
    <r>
      <rPr>
        <b/>
        <sz val="11"/>
        <color theme="1"/>
        <rFont val="Calibri"/>
        <family val="2"/>
        <scheme val="minor"/>
      </rPr>
      <t>DEV</t>
    </r>
  </si>
  <si>
    <r>
      <t xml:space="preserve">Environment: </t>
    </r>
    <r>
      <rPr>
        <b/>
        <sz val="11"/>
        <color theme="1"/>
        <rFont val="Calibri"/>
        <family val="2"/>
        <scheme val="minor"/>
      </rPr>
      <t>PRE</t>
    </r>
  </si>
  <si>
    <r>
      <t xml:space="preserve">Environment: </t>
    </r>
    <r>
      <rPr>
        <b/>
        <sz val="11"/>
        <color theme="1"/>
        <rFont val="Calibri"/>
        <family val="2"/>
        <scheme val="minor"/>
      </rPr>
      <t>PRD</t>
    </r>
  </si>
  <si>
    <t>This service allows to modify sources of the application (DEV) and launch the Continuous Integration</t>
  </si>
  <si>
    <t>This service allows to manage (write) administration of applicative sources of the application (DEV) and administrate and launch the Continuous Integration.</t>
  </si>
  <si>
    <t>This service allows to adminstrate and update (write) sources of infra as code and to administrate and execute the Continuous Deployment in Dev and PreProduction</t>
  </si>
  <si>
    <t>This service allows to administrate the delivery chain for Production and execute it (write)</t>
  </si>
  <si>
    <t>This service allows to consult DEV and OPS applicative and deployment sources and CI-CD execution (read only)</t>
  </si>
  <si>
    <r>
      <t xml:space="preserve">This service allows to manage </t>
    </r>
    <r>
      <rPr>
        <b/>
        <sz val="11"/>
        <color rgb="FF00B050"/>
        <rFont val="Calibri"/>
        <family val="2"/>
        <scheme val="minor"/>
      </rPr>
      <t xml:space="preserve">&lt;Reflex_Application&gt; </t>
    </r>
    <r>
      <rPr>
        <sz val="11"/>
        <color theme="1"/>
        <rFont val="Calibri"/>
        <family val="2"/>
        <scheme val="minor"/>
      </rPr>
      <t>resources through console. This service includes the readonly access</t>
    </r>
  </si>
  <si>
    <r>
      <t xml:space="preserve">This service allows to access in read only mode  </t>
    </r>
    <r>
      <rPr>
        <b/>
        <sz val="11"/>
        <color rgb="FF00B050"/>
        <rFont val="Calibri"/>
        <family val="2"/>
        <scheme val="minor"/>
      </rPr>
      <t>&lt;Reflex_Application&gt;</t>
    </r>
    <r>
      <rPr>
        <sz val="11"/>
        <color theme="1"/>
        <rFont val="Calibri"/>
        <family val="2"/>
        <scheme val="minor"/>
      </rPr>
      <t xml:space="preserve"> resources through console </t>
    </r>
  </si>
  <si>
    <t>This service allows to manage (write) administration of applicative sources of the application (DEV) and administrate and launch the Continuous Integration
It permits also to adminstrated and update (write) sources of infra as code and to execute the Continuous Deployment in Dev and PreProduction</t>
  </si>
  <si>
    <t>DEV</t>
  </si>
  <si>
    <t>OPS</t>
  </si>
  <si>
    <t>Release manager / OPS</t>
  </si>
  <si>
    <t>Technical account / Auditor / architect / DEV / OPS</t>
  </si>
  <si>
    <t>PTA / DEVOPS</t>
  </si>
  <si>
    <t>REUNIS access service</t>
  </si>
  <si>
    <t>&lt;PRD&gt;X *</t>
  </si>
  <si>
    <t>* X=character given by seculogiq</t>
  </si>
  <si>
    <t>ASL + Owner</t>
  </si>
  <si>
    <t>Access to source code gives ability to see vulnerabilities of the application</t>
  </si>
  <si>
    <t>aligned on the application</t>
  </si>
  <si>
    <t>None</t>
  </si>
  <si>
    <t>Not cumulative with DEVOPS, DEV ADMIN and DEV</t>
  </si>
  <si>
    <t>Affectation forbidden on primary ID of user</t>
  </si>
  <si>
    <t>Not cumulative with RELEASE</t>
  </si>
  <si>
    <t>Technical environments</t>
  </si>
  <si>
    <t>Development</t>
  </si>
  <si>
    <t>X</t>
  </si>
  <si>
    <t>no</t>
  </si>
  <si>
    <t>Pre-production</t>
  </si>
  <si>
    <t>Production</t>
  </si>
  <si>
    <t>Applicative Sources</t>
  </si>
  <si>
    <t>(view)</t>
  </si>
  <si>
    <t>Terraform / playbook Sources</t>
  </si>
  <si>
    <t>Continuous Integration chain (CI)</t>
  </si>
  <si>
    <t>Continuous delivery chain (CD) - DEV</t>
  </si>
  <si>
    <t>Continuous delivery chain (CD) - PreProd</t>
  </si>
  <si>
    <t>(exec)</t>
  </si>
  <si>
    <t>Continuous delivery chain (CD) - Prod</t>
  </si>
  <si>
    <t>Access to production business data</t>
  </si>
  <si>
    <t>Access type</t>
  </si>
  <si>
    <t>READING AND MODIFICATION</t>
  </si>
  <si>
    <t>READER ONLY</t>
  </si>
  <si>
    <t>NONE</t>
  </si>
  <si>
    <r>
      <t>LDAP%LDAP%GROUPE LDAP PSA%GRPLDAP%</t>
    </r>
    <r>
      <rPr>
        <sz val="11"/>
        <color rgb="FF00B050"/>
        <rFont val="Calibri"/>
        <family val="2"/>
        <scheme val="minor"/>
      </rPr>
      <t>&lt;PRD&gt;</t>
    </r>
    <r>
      <rPr>
        <sz val="11"/>
        <color theme="1"/>
        <rFont val="Calibri"/>
        <family val="2"/>
        <scheme val="minor"/>
      </rPr>
      <t>.SCM.DEVOPS</t>
    </r>
  </si>
  <si>
    <t>CIQ access</t>
  </si>
  <si>
    <t>env &lt;PRD&gt;00** for applicative sources</t>
  </si>
  <si>
    <t>Dev</t>
  </si>
  <si>
    <t>Administrator</t>
  </si>
  <si>
    <t>Viewer</t>
  </si>
  <si>
    <t>The CI is managed by OPS profile. Consequently, one DEV+RELEASE person cannot deploy into production without any deploy done by an OPS profile</t>
  </si>
  <si>
    <t>env &lt;PRD&gt;01** for ops sources</t>
  </si>
  <si>
    <t>env &lt;PRD&gt;02** for Continuous integration (CI)</t>
  </si>
  <si>
    <t>env &lt;PRD&gt;03** for DEV deploy</t>
  </si>
  <si>
    <t>env &lt;PRD&gt;04** for PREPROD deploy</t>
  </si>
  <si>
    <r>
      <t>Viewer</t>
    </r>
    <r>
      <rPr>
        <sz val="11"/>
        <color theme="7" tint="-0.249977111117893"/>
        <rFont val="Calibri"/>
        <family val="2"/>
        <scheme val="minor"/>
      </rPr>
      <t/>
    </r>
  </si>
  <si>
    <t>env &lt;PRD&gt;05** for PROD deploy</t>
  </si>
  <si>
    <t>GitHub access</t>
  </si>
  <si>
    <t>Access to applicative sources</t>
  </si>
  <si>
    <t>Access to OPS sources</t>
  </si>
  <si>
    <t>Tasks</t>
  </si>
  <si>
    <t>** the exact number of sequence could change depending on the order of creation of enviornment and other existing environments. The number of CIQ environment can't be lower than 5</t>
  </si>
  <si>
    <t>Administrate Applicative source repository</t>
  </si>
  <si>
    <t>Modify Applicative source code</t>
  </si>
  <si>
    <t>Administrate Continous Integration (CI)</t>
  </si>
  <si>
    <t>Launch Continous Integration (CI)</t>
  </si>
  <si>
    <t>Administrate Deploy source repository</t>
  </si>
  <si>
    <t>Modify Deploy source code</t>
  </si>
  <si>
    <t>Administrate Continous Deployment (CD) to DEV</t>
  </si>
  <si>
    <t>Launch Continous Deployment (CD) to DEV</t>
  </si>
  <si>
    <t>Administrate Continous Deployment (CD) to PREPROD</t>
  </si>
  <si>
    <t>Launch Continous Deployment (CD) to PREPROD</t>
  </si>
  <si>
    <t>Administrate Continous Deployment (CD) to PROD</t>
  </si>
  <si>
    <t>Launch Continous Deployment (CD) to PROD</t>
  </si>
  <si>
    <t>View AWS ressources in management console</t>
  </si>
  <si>
    <t>Administration access to AWS ressources in management console</t>
  </si>
  <si>
    <t>Link to initial template document</t>
  </si>
  <si>
    <t>https://meteor-it.inetpsa.com/Documentation/BUILD_Documentation/Deliverables/Engineering/Access_rights_matrix.html</t>
  </si>
  <si>
    <t>Level of validation</t>
  </si>
  <si>
    <t>Confidentiality / Integrity</t>
  </si>
  <si>
    <t>Role type</t>
  </si>
  <si>
    <t>Mixed management</t>
  </si>
  <si>
    <t>ASL</t>
  </si>
  <si>
    <t>Operational user</t>
  </si>
  <si>
    <t>Local management</t>
  </si>
  <si>
    <t>Functional Administrator</t>
  </si>
  <si>
    <t>Not applicable</t>
  </si>
  <si>
    <t>Studies</t>
  </si>
  <si>
    <t>Technical Integrator</t>
  </si>
  <si>
    <t>Devops</t>
  </si>
  <si>
    <t xml:space="preserve">
LDAP Group</t>
  </si>
  <si>
    <t xml:space="preserve">Technical Target Value (Typed in)
</t>
  </si>
  <si>
    <r>
      <rPr>
        <b/>
        <sz val="11"/>
        <color rgb="FF00B050"/>
        <rFont val="Calibri"/>
        <family val="2"/>
        <scheme val="minor"/>
      </rPr>
      <t>&lt;PRD&gt;</t>
    </r>
    <r>
      <rPr>
        <sz val="11"/>
        <color theme="1"/>
        <rFont val="Calibri"/>
        <family val="2"/>
        <scheme val="minor"/>
      </rPr>
      <t>.BPF.AWS.DEV.ADMIN</t>
    </r>
  </si>
  <si>
    <r>
      <rPr>
        <b/>
        <sz val="11"/>
        <color rgb="FF00B050"/>
        <rFont val="Calibri"/>
        <family val="2"/>
        <scheme val="minor"/>
      </rPr>
      <t>&lt;PRD&gt;</t>
    </r>
    <r>
      <rPr>
        <sz val="11"/>
        <color theme="1"/>
        <rFont val="Calibri"/>
        <family val="2"/>
        <scheme val="minor"/>
      </rPr>
      <t>.BPF.AWS.DEV.READONLY</t>
    </r>
  </si>
  <si>
    <r>
      <rPr>
        <b/>
        <sz val="11"/>
        <color rgb="FF00B050"/>
        <rFont val="Calibri"/>
        <family val="2"/>
        <scheme val="minor"/>
      </rPr>
      <t>&lt;PRD&gt;</t>
    </r>
    <r>
      <rPr>
        <sz val="11"/>
        <color theme="1"/>
        <rFont val="Calibri"/>
        <family val="2"/>
        <scheme val="minor"/>
      </rPr>
      <t>.BPF.AWS.PRE.ADMIN</t>
    </r>
  </si>
  <si>
    <r>
      <rPr>
        <b/>
        <sz val="11"/>
        <color rgb="FF00B050"/>
        <rFont val="Calibri"/>
        <family val="2"/>
        <scheme val="minor"/>
      </rPr>
      <t>&lt;PRD&gt;</t>
    </r>
    <r>
      <rPr>
        <sz val="11"/>
        <color theme="1"/>
        <rFont val="Calibri"/>
        <family val="2"/>
        <scheme val="minor"/>
      </rPr>
      <t>.BPF.AWS.PRE.READONLY</t>
    </r>
  </si>
  <si>
    <r>
      <rPr>
        <b/>
        <sz val="11"/>
        <color rgb="FF00B050"/>
        <rFont val="Calibri"/>
        <family val="2"/>
        <scheme val="minor"/>
      </rPr>
      <t>&lt;PRD&gt;</t>
    </r>
    <r>
      <rPr>
        <sz val="11"/>
        <color theme="1"/>
        <rFont val="Calibri"/>
        <family val="2"/>
        <scheme val="minor"/>
      </rPr>
      <t>.BPF.AWS.PRD.ADMIN</t>
    </r>
  </si>
  <si>
    <r>
      <rPr>
        <b/>
        <sz val="11"/>
        <color rgb="FF00B050"/>
        <rFont val="Calibri"/>
        <family val="2"/>
        <scheme val="minor"/>
      </rPr>
      <t>&lt;PRD&gt;</t>
    </r>
    <r>
      <rPr>
        <sz val="11"/>
        <color theme="1"/>
        <rFont val="Calibri"/>
        <family val="2"/>
        <scheme val="minor"/>
      </rPr>
      <t>.BPF.AWS.PRD.READONLY</t>
    </r>
  </si>
  <si>
    <t xml:space="preserve">Technical targets
Technical Target Type (Radio Button)
                                             (Drop down list)
</t>
  </si>
  <si>
    <r>
      <t xml:space="preserve">
</t>
    </r>
    <r>
      <rPr>
        <b/>
        <sz val="11"/>
        <color rgb="FF00B050"/>
        <rFont val="Calibri"/>
        <family val="2"/>
        <scheme val="minor"/>
      </rPr>
      <t>LDAP Group</t>
    </r>
  </si>
  <si>
    <t xml:space="preserve">
OTHER
LDAPPING GROUP and LDAPPING ROLE</t>
  </si>
  <si>
    <r>
      <rPr>
        <b/>
        <sz val="11"/>
        <color rgb="FF00B050"/>
        <rFont val="Calibri"/>
        <family val="2"/>
        <scheme val="minor"/>
      </rPr>
      <t>&lt;PRD&gt;</t>
    </r>
    <r>
      <rPr>
        <sz val="11"/>
        <color theme="1"/>
        <rFont val="Calibri"/>
        <family val="2"/>
        <scheme val="minor"/>
      </rPr>
      <t>.CICD.RELEASE</t>
    </r>
  </si>
  <si>
    <r>
      <rPr>
        <b/>
        <sz val="11"/>
        <color rgb="FF00B050"/>
        <rFont val="Calibri"/>
        <family val="2"/>
        <scheme val="minor"/>
      </rPr>
      <t>&lt;PRD&gt;</t>
    </r>
    <r>
      <rPr>
        <sz val="11"/>
        <color theme="1"/>
        <rFont val="Calibri"/>
        <family val="2"/>
        <scheme val="minor"/>
      </rPr>
      <t>.CICD.READ</t>
    </r>
  </si>
  <si>
    <r>
      <rPr>
        <b/>
        <sz val="11"/>
        <color rgb="FF00B050"/>
        <rFont val="Calibri"/>
        <family val="2"/>
        <scheme val="minor"/>
      </rPr>
      <t>&lt;PRD&gt;</t>
    </r>
    <r>
      <rPr>
        <b/>
        <sz val="11"/>
        <rFont val="Calibri"/>
        <family val="2"/>
        <scheme val="minor"/>
      </rPr>
      <t>.</t>
    </r>
    <r>
      <rPr>
        <sz val="11"/>
        <rFont val="Calibri"/>
        <family val="2"/>
        <scheme val="minor"/>
      </rPr>
      <t>CICD</t>
    </r>
    <r>
      <rPr>
        <sz val="11"/>
        <color theme="1"/>
        <rFont val="Calibri"/>
        <family val="2"/>
        <scheme val="minor"/>
      </rPr>
      <t>.OPS</t>
    </r>
  </si>
  <si>
    <r>
      <rPr>
        <b/>
        <sz val="11"/>
        <color rgb="FF00B050"/>
        <rFont val="Calibri"/>
        <family val="2"/>
        <scheme val="minor"/>
      </rPr>
      <t>&lt;PRD&gt;</t>
    </r>
    <r>
      <rPr>
        <sz val="11"/>
        <color theme="1"/>
        <rFont val="Calibri"/>
        <family val="2"/>
        <scheme val="minor"/>
      </rPr>
      <t>.CICD.DEV.ADMIN</t>
    </r>
  </si>
  <si>
    <r>
      <rPr>
        <b/>
        <sz val="11"/>
        <color rgb="FF00B050"/>
        <rFont val="Calibri"/>
        <family val="2"/>
        <scheme val="minor"/>
      </rPr>
      <t>&lt;PRD&gt;</t>
    </r>
    <r>
      <rPr>
        <sz val="11"/>
        <color theme="1"/>
        <rFont val="Calibri"/>
        <family val="2"/>
        <scheme val="minor"/>
      </rPr>
      <t>.CICD.DEV</t>
    </r>
  </si>
  <si>
    <r>
      <t xml:space="preserve">CICD DEV role – access to DEV sources of the application </t>
    </r>
    <r>
      <rPr>
        <b/>
        <sz val="11"/>
        <color rgb="FF00B050"/>
        <rFont val="Calibri"/>
        <family val="2"/>
        <scheme val="minor"/>
      </rPr>
      <t xml:space="preserve">&lt;REFLEX_NAME of the DEV Application - ending with "/D"&gt; </t>
    </r>
  </si>
  <si>
    <r>
      <t xml:space="preserve">CICD DEV ADMIN role – administrate DEV sources of the application </t>
    </r>
    <r>
      <rPr>
        <b/>
        <sz val="11"/>
        <color rgb="FF00B050"/>
        <rFont val="Calibri"/>
        <family val="2"/>
        <scheme val="minor"/>
      </rPr>
      <t>&lt;REFLEX_NAME of the preProduction Application - ending with "/P"&gt;</t>
    </r>
  </si>
  <si>
    <r>
      <t xml:space="preserve">CICD OPS role – access to OPS sources of the application </t>
    </r>
    <r>
      <rPr>
        <b/>
        <sz val="11"/>
        <color rgb="FF00B050"/>
        <rFont val="Calibri"/>
        <family val="2"/>
        <scheme val="minor"/>
      </rPr>
      <t>&lt;REFLEX_NAME of the preProduction Application - ending with "/P"&gt;</t>
    </r>
  </si>
  <si>
    <r>
      <t xml:space="preserve">CICD RELEASE role – allow to deliver the application into Production </t>
    </r>
    <r>
      <rPr>
        <b/>
        <sz val="11"/>
        <color rgb="FF00B050"/>
        <rFont val="Calibri"/>
        <family val="2"/>
        <scheme val="minor"/>
      </rPr>
      <t>&lt;REFLEX_NAME of the production Application&gt;</t>
    </r>
  </si>
  <si>
    <r>
      <t xml:space="preserve">CICD READ source role – read access to DEV and OPS sources of the application </t>
    </r>
    <r>
      <rPr>
        <b/>
        <sz val="11"/>
        <color rgb="FF00B050"/>
        <rFont val="Calibri"/>
        <family val="2"/>
        <scheme val="minor"/>
      </rPr>
      <t>&lt;REFLEX_NAME of the DEV Application - ending with "/D"&gt;</t>
    </r>
  </si>
  <si>
    <t>2.3</t>
  </si>
  <si>
    <t>A. PIERRE, D. SALMAN</t>
  </si>
  <si>
    <t>Access rights matrix - Business profiles</t>
  </si>
  <si>
    <t>Profile 11</t>
  </si>
  <si>
    <t>Profile 12</t>
  </si>
  <si>
    <t>Profile 13</t>
  </si>
  <si>
    <t>Profile 14</t>
  </si>
  <si>
    <t>Profile 15</t>
  </si>
  <si>
    <t>Profile 16</t>
  </si>
  <si>
    <t>Profile 17</t>
  </si>
  <si>
    <t>Profile 18</t>
  </si>
  <si>
    <t>Profile 19</t>
  </si>
  <si>
    <t>Technical targets</t>
  </si>
  <si>
    <t>Application functionalities</t>
  </si>
  <si>
    <t>Feature 1</t>
  </si>
  <si>
    <t>Feature 2</t>
  </si>
  <si>
    <t>…</t>
  </si>
  <si>
    <t>Name CICD profile ; confirm them as part of technical rights. Following meeting with L. Daguenet &amp; O. Hennechart</t>
  </si>
  <si>
    <r>
      <t xml:space="preserve">CICD DEVOPS role – access to DEV and OPS sources of the application </t>
    </r>
    <r>
      <rPr>
        <b/>
        <sz val="11"/>
        <color rgb="FF00B050"/>
        <rFont val="Calibri"/>
        <family val="2"/>
        <scheme val="minor"/>
      </rPr>
      <t>&lt;REFLEX_NAME of thepreProduction Application&gt;</t>
    </r>
  </si>
  <si>
    <r>
      <rPr>
        <b/>
        <sz val="11"/>
        <color rgb="FF00B050"/>
        <rFont val="Calibri"/>
        <family val="2"/>
        <scheme val="minor"/>
      </rPr>
      <t>&lt;PRD&gt;.</t>
    </r>
    <r>
      <rPr>
        <sz val="11"/>
        <color theme="1"/>
        <rFont val="Calibri"/>
        <family val="2"/>
        <scheme val="minor"/>
      </rPr>
      <t>CICD.DEVOPS</t>
    </r>
  </si>
  <si>
    <r>
      <t>AWS Console Administrator of</t>
    </r>
    <r>
      <rPr>
        <b/>
        <sz val="11"/>
        <color rgb="FF00B050"/>
        <rFont val="Calibri"/>
        <family val="2"/>
        <scheme val="minor"/>
      </rPr>
      <t xml:space="preserve">  &lt;REFLEX_NAME of the DEV Application - ending with "/D"&gt; </t>
    </r>
    <r>
      <rPr>
        <b/>
        <sz val="11"/>
        <rFont val="Calibri"/>
        <family val="2"/>
        <scheme val="minor"/>
      </rPr>
      <t>components</t>
    </r>
    <r>
      <rPr>
        <b/>
        <sz val="11"/>
        <color rgb="FF00B050"/>
        <rFont val="Calibri"/>
        <family val="2"/>
        <scheme val="minor"/>
      </rPr>
      <t xml:space="preserve"> – </t>
    </r>
    <r>
      <rPr>
        <b/>
        <sz val="11"/>
        <rFont val="Calibri"/>
        <family val="2"/>
        <scheme val="minor"/>
      </rPr>
      <t xml:space="preserve">Development </t>
    </r>
  </si>
  <si>
    <r>
      <t>AWS Console ReadOnly of</t>
    </r>
    <r>
      <rPr>
        <b/>
        <sz val="11"/>
        <color rgb="FF00B050"/>
        <rFont val="Calibri"/>
        <family val="2"/>
        <scheme val="minor"/>
      </rPr>
      <t xml:space="preserve">  &lt;REFLEX_NAME of the DEV Application - ending with "/D"&gt; </t>
    </r>
    <r>
      <rPr>
        <b/>
        <sz val="11"/>
        <rFont val="Calibri"/>
        <family val="2"/>
        <scheme val="minor"/>
      </rPr>
      <t>components - Development</t>
    </r>
  </si>
  <si>
    <r>
      <t>AWS Console Administrator of</t>
    </r>
    <r>
      <rPr>
        <b/>
        <sz val="11"/>
        <color rgb="FF00B050"/>
        <rFont val="Calibri"/>
        <family val="2"/>
        <scheme val="minor"/>
      </rPr>
      <t xml:space="preserve">  &lt;REFLEX_NAME of the PREPROD Application - ending with "/P"&gt; </t>
    </r>
    <r>
      <rPr>
        <b/>
        <sz val="11"/>
        <rFont val="Calibri"/>
        <family val="2"/>
        <scheme val="minor"/>
      </rPr>
      <t>components – Preprod</t>
    </r>
  </si>
  <si>
    <r>
      <t>AWS Console ReadOnly of</t>
    </r>
    <r>
      <rPr>
        <b/>
        <sz val="11"/>
        <color rgb="FF00B050"/>
        <rFont val="Calibri"/>
        <family val="2"/>
        <scheme val="minor"/>
      </rPr>
      <t xml:space="preserve"> &lt;REFLEX_NAME of the PREPROD Application - ending with "/P"&gt; </t>
    </r>
    <r>
      <rPr>
        <b/>
        <sz val="11"/>
        <rFont val="Calibri"/>
        <family val="2"/>
        <scheme val="minor"/>
      </rPr>
      <t>components – Preprod</t>
    </r>
  </si>
  <si>
    <r>
      <t>AWS Console Administrator of</t>
    </r>
    <r>
      <rPr>
        <b/>
        <sz val="11"/>
        <color rgb="FF00B050"/>
        <rFont val="Calibri"/>
        <family val="2"/>
        <scheme val="minor"/>
      </rPr>
      <t xml:space="preserve"> &lt;REFLEX_NAME of the PROD Application&gt; </t>
    </r>
    <r>
      <rPr>
        <b/>
        <sz val="11"/>
        <rFont val="Calibri"/>
        <family val="2"/>
        <scheme val="minor"/>
      </rPr>
      <t>components – Production</t>
    </r>
  </si>
  <si>
    <r>
      <t>AWS Console ReadOnly of</t>
    </r>
    <r>
      <rPr>
        <b/>
        <sz val="11"/>
        <color rgb="FF00B050"/>
        <rFont val="Calibri"/>
        <family val="2"/>
        <scheme val="minor"/>
      </rPr>
      <t xml:space="preserve">  &lt;REFLEX_NAME of the PROD Application&gt; </t>
    </r>
    <r>
      <rPr>
        <b/>
        <sz val="11"/>
        <rFont val="Calibri"/>
        <family val="2"/>
        <scheme val="minor"/>
      </rPr>
      <t>components – Production</t>
    </r>
  </si>
  <si>
    <r>
      <t>Incompatibilities (</t>
    </r>
    <r>
      <rPr>
        <i/>
        <sz val="11"/>
        <color theme="1"/>
        <rFont val="Calibri"/>
        <family val="2"/>
        <scheme val="minor"/>
      </rPr>
      <t>Field is called 'Consignes' when creating the SA</t>
    </r>
    <r>
      <rPr>
        <sz val="11"/>
        <color theme="1"/>
        <rFont val="Calibri"/>
        <family val="2"/>
        <scheme val="minor"/>
      </rPr>
      <t>)</t>
    </r>
  </si>
  <si>
    <t>2.4</t>
  </si>
  <si>
    <t>A. BONNICI, A. PIERRE</t>
  </si>
  <si>
    <t>Minor formatting updates</t>
  </si>
  <si>
    <r>
      <t xml:space="preserve">Only for administration-type </t>
    </r>
    <r>
      <rPr>
        <b/>
        <sz val="11"/>
        <color rgb="FFFF0000"/>
        <rFont val="Calibri"/>
        <family val="2"/>
        <scheme val="minor"/>
      </rPr>
      <t>Secondary identifiers</t>
    </r>
    <r>
      <rPr>
        <sz val="11"/>
        <color theme="1"/>
        <rFont val="Calibri"/>
        <family val="2"/>
        <scheme val="minor"/>
      </rPr>
      <t xml:space="preserve"> on Console AWS - Banque.
</t>
    </r>
    <r>
      <rPr>
        <u/>
        <sz val="11"/>
        <color theme="1"/>
        <rFont val="Calibri"/>
        <family val="2"/>
        <scheme val="minor"/>
      </rPr>
      <t>OPS, DEV, Auditors, Release manager, CPI, FinOps, SecOps</t>
    </r>
  </si>
  <si>
    <r>
      <t xml:space="preserve">Only for administration-type </t>
    </r>
    <r>
      <rPr>
        <b/>
        <sz val="11"/>
        <color rgb="FFFF0000"/>
        <rFont val="Calibri"/>
        <family val="2"/>
        <scheme val="minor"/>
      </rPr>
      <t>Secondary identifiers</t>
    </r>
    <r>
      <rPr>
        <sz val="11"/>
        <color theme="1"/>
        <rFont val="Calibri"/>
        <family val="2"/>
        <scheme val="minor"/>
      </rPr>
      <t xml:space="preserve"> on Console AWS - Banque.
</t>
    </r>
    <r>
      <rPr>
        <sz val="11"/>
        <color rgb="FFFF0000"/>
        <rFont val="Calibri"/>
        <family val="2"/>
        <scheme val="minor"/>
      </rPr>
      <t xml:space="preserve">- OPS, SecOps
</t>
    </r>
  </si>
  <si>
    <r>
      <t xml:space="preserve">Only for administration-type </t>
    </r>
    <r>
      <rPr>
        <sz val="11"/>
        <color rgb="FFFF0000"/>
        <rFont val="Calibri"/>
        <family val="2"/>
        <scheme val="minor"/>
      </rPr>
      <t>S</t>
    </r>
    <r>
      <rPr>
        <b/>
        <sz val="11"/>
        <color rgb="FFFF0000"/>
        <rFont val="Calibri"/>
        <family val="2"/>
        <scheme val="minor"/>
      </rPr>
      <t>econdary identifiers</t>
    </r>
    <r>
      <rPr>
        <sz val="11"/>
        <color theme="1"/>
        <rFont val="Calibri"/>
        <family val="2"/>
        <scheme val="minor"/>
      </rPr>
      <t xml:space="preserve"> on Console AWS - Banque.
</t>
    </r>
    <r>
      <rPr>
        <u/>
        <sz val="11"/>
        <color theme="1"/>
        <rFont val="Calibri"/>
        <family val="2"/>
        <scheme val="minor"/>
      </rPr>
      <t>OPS, DEV, Auditors, Release manager, CPI, FinOps, SecOps</t>
    </r>
  </si>
  <si>
    <r>
      <t xml:space="preserve">Only for administration-type </t>
    </r>
    <r>
      <rPr>
        <b/>
        <sz val="11"/>
        <color rgb="FFFF0000"/>
        <rFont val="Calibri"/>
        <family val="2"/>
        <scheme val="minor"/>
      </rPr>
      <t>Secondary identifiers</t>
    </r>
    <r>
      <rPr>
        <sz val="11"/>
        <color theme="1"/>
        <rFont val="Calibri"/>
        <family val="2"/>
        <scheme val="minor"/>
      </rPr>
      <t xml:space="preserve"> on Console AWS - Banque.</t>
    </r>
    <r>
      <rPr>
        <sz val="11"/>
        <color rgb="FFFF0000"/>
        <rFont val="Calibri"/>
        <family val="2"/>
        <scheme val="minor"/>
      </rPr>
      <t xml:space="preserve">
- OPS, Dev, SecOps</t>
    </r>
  </si>
  <si>
    <r>
      <t xml:space="preserve">CONFIDENTIAL LEVEL: </t>
    </r>
    <r>
      <rPr>
        <b/>
        <sz val="11"/>
        <color rgb="FF00B050"/>
        <rFont val="ErasBldITCTT"/>
      </rPr>
      <t>C2 – PSA SENSITIVE</t>
    </r>
  </si>
  <si>
    <t>2.5</t>
  </si>
  <si>
    <t>D. SALMAN</t>
  </si>
  <si>
    <t>Add PGA / ApplicationLead Applicative Service</t>
  </si>
  <si>
    <r>
      <t>AWS Console ApplicationLead of</t>
    </r>
    <r>
      <rPr>
        <b/>
        <sz val="11"/>
        <color rgb="FF00B050"/>
        <rFont val="Calibri"/>
        <family val="2"/>
        <scheme val="minor"/>
      </rPr>
      <t xml:space="preserve">  &lt;REFLEX_NAME of the DEV Application - ending with "/D"&gt; </t>
    </r>
    <r>
      <rPr>
        <b/>
        <sz val="11"/>
        <rFont val="Calibri"/>
        <family val="2"/>
        <scheme val="minor"/>
      </rPr>
      <t>components - Development</t>
    </r>
  </si>
  <si>
    <r>
      <t xml:space="preserve">This service allows to access restricted PGA/Application lead AWS services of </t>
    </r>
    <r>
      <rPr>
        <b/>
        <sz val="11"/>
        <color rgb="FF00B050"/>
        <rFont val="Calibri"/>
        <family val="2"/>
        <scheme val="minor"/>
      </rPr>
      <t>&lt;Reflex_Application&gt;</t>
    </r>
    <r>
      <rPr>
        <sz val="11"/>
        <color theme="1"/>
        <rFont val="Calibri"/>
        <family val="2"/>
        <scheme val="minor"/>
      </rPr>
      <t xml:space="preserve"> resources through console </t>
    </r>
  </si>
  <si>
    <r>
      <t xml:space="preserve">Only for administration-type </t>
    </r>
    <r>
      <rPr>
        <b/>
        <sz val="11"/>
        <color rgb="FFFF0000"/>
        <rFont val="Calibri"/>
        <family val="2"/>
        <scheme val="minor"/>
      </rPr>
      <t>Secondary identifiers</t>
    </r>
    <r>
      <rPr>
        <sz val="11"/>
        <color theme="1"/>
        <rFont val="Calibri"/>
        <family val="2"/>
        <scheme val="minor"/>
      </rPr>
      <t xml:space="preserve"> on Console AWS - Banque.
</t>
    </r>
    <r>
      <rPr>
        <u/>
        <sz val="11"/>
        <color theme="1"/>
        <rFont val="Calibri"/>
        <family val="2"/>
        <scheme val="minor"/>
      </rPr>
      <t>PGA, PFA, PTA, ApplicationLead</t>
    </r>
  </si>
  <si>
    <r>
      <rPr>
        <b/>
        <sz val="11"/>
        <color rgb="FF00B050"/>
        <rFont val="Calibri"/>
        <family val="2"/>
        <scheme val="minor"/>
      </rPr>
      <t>&lt;PRD&gt;</t>
    </r>
    <r>
      <rPr>
        <sz val="11"/>
        <color theme="1"/>
        <rFont val="Calibri"/>
        <family val="2"/>
        <scheme val="minor"/>
      </rPr>
      <t>.BPF.AWS.DEV.APPLEAD</t>
    </r>
  </si>
  <si>
    <r>
      <rPr>
        <b/>
        <sz val="11"/>
        <color rgb="FF00B050"/>
        <rFont val="Calibri"/>
        <family val="2"/>
        <scheme val="minor"/>
      </rPr>
      <t>&lt;PRD&gt;</t>
    </r>
    <r>
      <rPr>
        <sz val="11"/>
        <color theme="1"/>
        <rFont val="Calibri"/>
        <family val="2"/>
        <scheme val="minor"/>
      </rPr>
      <t>.BPF.AWS.PRE.APPLEAD</t>
    </r>
  </si>
  <si>
    <r>
      <rPr>
        <b/>
        <sz val="11"/>
        <color rgb="FF00B050"/>
        <rFont val="Calibri"/>
        <family val="2"/>
        <scheme val="minor"/>
      </rPr>
      <t>&lt;PRD&gt;</t>
    </r>
    <r>
      <rPr>
        <sz val="11"/>
        <color theme="1"/>
        <rFont val="Calibri"/>
        <family val="2"/>
        <scheme val="minor"/>
      </rPr>
      <t>.BPF.AWS.PRD.APPLEAD</t>
    </r>
  </si>
  <si>
    <r>
      <t>AWS Console ApplicationLead of</t>
    </r>
    <r>
      <rPr>
        <b/>
        <sz val="11"/>
        <color rgb="FF00B050"/>
        <rFont val="Calibri"/>
        <family val="2"/>
        <scheme val="minor"/>
      </rPr>
      <t xml:space="preserve">  &lt;REFLEX_NAME of the PROD Application&gt; </t>
    </r>
    <r>
      <rPr>
        <b/>
        <sz val="11"/>
        <rFont val="Calibri"/>
        <family val="2"/>
        <scheme val="minor"/>
      </rPr>
      <t>components - Production</t>
    </r>
  </si>
  <si>
    <r>
      <t>AWS Console ApplicationLead of</t>
    </r>
    <r>
      <rPr>
        <b/>
        <sz val="11"/>
        <color rgb="FF00B050"/>
        <rFont val="Calibri"/>
        <family val="2"/>
        <scheme val="minor"/>
      </rPr>
      <t xml:space="preserve">  &lt;REFLEX_NAME of the PREPROD Application - ending with "/P"&gt; </t>
    </r>
    <r>
      <rPr>
        <b/>
        <sz val="11"/>
        <rFont val="Calibri"/>
        <family val="2"/>
        <scheme val="minor"/>
      </rPr>
      <t>components - Preprod</t>
    </r>
  </si>
  <si>
    <t>Yes</t>
  </si>
  <si>
    <t>PTA / DEV, technical account</t>
  </si>
  <si>
    <t>2.6</t>
  </si>
  <si>
    <t>Add technical account as possible user for CICD dev admin role</t>
  </si>
  <si>
    <t xml:space="preserve">Right matrix model for CIQ, CI-CD and AWS Console </t>
  </si>
  <si>
    <t>v2.6 March 2026</t>
  </si>
  <si>
    <t>Reference of right matrix model for CIQ, CICD and AWS CONSOLE TeiC can be found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</si>
</sst>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
      <i/>
      <sz val="9"/>
      <color indexed="81"/>
      <name val="Tahoma"/>
      <family val="2"/>
    </font>
    <font>
      <u/>
      <sz val="9"/>
      <color indexed="81"/>
      <name val="Tahoma"/>
      <family val="2"/>
    </font>
    <font>
      <b/>
      <sz val="12"/>
      <color theme="0"/>
      <name val="Calibri"/>
      <family val="2"/>
      <scheme val="minor"/>
    </font>
    <font>
      <b/>
      <sz val="14"/>
      <color theme="0"/>
      <name val="Calibri"/>
      <family val="2"/>
      <scheme val="minor"/>
    </font>
    <font>
      <i/>
      <sz val="11"/>
      <color theme="1"/>
      <name val="Calibri"/>
      <family val="2"/>
      <scheme val="minor"/>
    </font>
    <font>
      <i/>
      <sz val="12"/>
      <color theme="0"/>
      <name val="Calibri"/>
      <family val="2"/>
      <scheme val="minor"/>
    </font>
    <font>
      <b/>
      <sz val="26"/>
      <color rgb="FF0070C0"/>
      <name val="Calibri"/>
      <family val="2"/>
      <scheme val="minor"/>
    </font>
    <font>
      <b/>
      <sz val="20"/>
      <color rgb="FF0070C0"/>
      <name val="Calibri"/>
      <family val="2"/>
      <scheme val="minor"/>
    </font>
    <font>
      <u/>
      <sz val="11"/>
      <color theme="10"/>
      <name val="Calibri"/>
      <family val="2"/>
      <scheme val="minor"/>
    </font>
    <font>
      <b/>
      <u/>
      <sz val="12"/>
      <color rgb="FF0000FF"/>
      <name val="Calibri"/>
      <family val="2"/>
      <scheme val="minor"/>
    </font>
    <font>
      <b/>
      <sz val="14"/>
      <color rgb="FF0070C0"/>
      <name val="Calibri"/>
      <family val="2"/>
      <scheme val="minor"/>
    </font>
    <font>
      <b/>
      <sz val="11"/>
      <color rgb="FF000000"/>
      <name val="Calibri"/>
      <family val="2"/>
      <scheme val="minor"/>
    </font>
    <font>
      <b/>
      <sz val="11"/>
      <color rgb="FF00B050"/>
      <name val="Calibri"/>
      <family val="2"/>
      <scheme val="minor"/>
    </font>
    <font>
      <sz val="11"/>
      <color rgb="FF00B050"/>
      <name val="Calibri"/>
      <family val="2"/>
      <scheme val="minor"/>
    </font>
    <font>
      <sz val="11"/>
      <color rgb="FFFF0000"/>
      <name val="Calibri"/>
      <family val="2"/>
      <scheme val="minor"/>
    </font>
    <font>
      <sz val="10"/>
      <name val="Arial"/>
      <family val="2"/>
    </font>
    <font>
      <sz val="11"/>
      <color theme="0" tint="-0.499984740745262"/>
      <name val="Calibri"/>
      <family val="2"/>
      <scheme val="minor"/>
    </font>
    <font>
      <sz val="11"/>
      <color rgb="FF0070C0"/>
      <name val="Calibri"/>
      <family val="2"/>
      <scheme val="minor"/>
    </font>
    <font>
      <i/>
      <sz val="11"/>
      <color theme="0" tint="-0.34998626667073579"/>
      <name val="Calibri"/>
      <family val="2"/>
      <scheme val="minor"/>
    </font>
    <font>
      <i/>
      <sz val="11"/>
      <color rgb="FF0070C0"/>
      <name val="Calibri"/>
      <family val="2"/>
      <scheme val="minor"/>
    </font>
    <font>
      <i/>
      <sz val="11"/>
      <color theme="7" tint="-0.249977111117893"/>
      <name val="Calibri"/>
      <family val="2"/>
      <scheme val="minor"/>
    </font>
    <font>
      <sz val="11"/>
      <color theme="7" tint="-0.249977111117893"/>
      <name val="Calibri"/>
      <family val="2"/>
      <scheme val="minor"/>
    </font>
    <font>
      <sz val="12"/>
      <color rgb="FFFF0000"/>
      <name val="Calibri"/>
      <family val="2"/>
      <scheme val="minor"/>
    </font>
    <font>
      <sz val="11"/>
      <name val="Calibri"/>
      <family val="2"/>
      <scheme val="minor"/>
    </font>
    <font>
      <sz val="20"/>
      <color rgb="FF1B365E"/>
      <name val="Cambria"/>
      <family val="1"/>
    </font>
    <font>
      <sz val="11"/>
      <color rgb="FF1B365E"/>
      <name val="Times New Roman"/>
      <family val="1"/>
    </font>
    <font>
      <b/>
      <sz val="11"/>
      <color rgb="FF1B365E"/>
      <name val="ErasBldITCTT"/>
    </font>
    <font>
      <b/>
      <sz val="11"/>
      <color rgb="FF00B050"/>
      <name val="ErasBldITCTT"/>
    </font>
    <font>
      <sz val="11"/>
      <color rgb="FF1B365E"/>
      <name val="Calibri"/>
      <family val="2"/>
    </font>
    <font>
      <b/>
      <sz val="11"/>
      <name val="Calibri"/>
      <family val="2"/>
      <scheme val="minor"/>
    </font>
    <font>
      <u/>
      <sz val="11"/>
      <color theme="1"/>
      <name val="Calibri"/>
      <family val="2"/>
      <scheme val="minor"/>
    </font>
    <font>
      <b/>
      <sz val="12"/>
      <color theme="1"/>
      <name val="Calibri"/>
      <family val="2"/>
      <scheme val="minor"/>
    </font>
    <font>
      <i/>
      <sz val="11"/>
      <color rgb="FFFF0000"/>
      <name val="Calibri"/>
      <family val="2"/>
      <scheme val="minor"/>
    </font>
    <font>
      <i/>
      <sz val="11"/>
      <name val="Calibri"/>
      <family val="2"/>
      <scheme val="minor"/>
    </font>
    <font>
      <b/>
      <sz val="11"/>
      <color rgb="FFFF0000"/>
      <name val="Calibri"/>
      <family val="2"/>
      <scheme val="minor"/>
    </font>
    <font>
      <sz val="8"/>
      <name val="Calibri"/>
      <family val="2"/>
      <scheme val="minor"/>
    </font>
  </fonts>
  <fills count="13">
    <fill>
      <patternFill patternType="none"/>
    </fill>
    <fill>
      <patternFill patternType="gray125"/>
    </fill>
    <fill>
      <patternFill patternType="solid">
        <fgColor theme="8"/>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0"/>
        <bgColor indexed="64"/>
      </patternFill>
    </fill>
    <fill>
      <patternFill patternType="solid">
        <fgColor theme="5" tint="0.59999389629810485"/>
        <bgColor indexed="64"/>
      </patternFill>
    </fill>
    <fill>
      <patternFill patternType="solid">
        <fgColor rgb="FF002060"/>
        <bgColor indexed="64"/>
      </patternFill>
    </fill>
    <fill>
      <patternFill patternType="solid">
        <fgColor rgb="FF0070C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diagonal/>
    </border>
  </borders>
  <cellStyleXfs count="4">
    <xf numFmtId="0" fontId="0" fillId="0" borderId="0"/>
    <xf numFmtId="0" fontId="2" fillId="2" borderId="0" applyNumberFormat="0" applyBorder="0" applyAlignment="0" applyProtection="0"/>
    <xf numFmtId="0" fontId="13" fillId="0" borderId="0" applyNumberFormat="0" applyFill="0" applyBorder="0" applyAlignment="0" applyProtection="0"/>
    <xf numFmtId="0" fontId="20" fillId="0" borderId="0"/>
  </cellStyleXfs>
  <cellXfs count="181">
    <xf numFmtId="0" fontId="0" fillId="0" borderId="0" xfId="0"/>
    <xf numFmtId="0" fontId="0" fillId="0" borderId="0" xfId="0" applyAlignment="1">
      <alignment wrapText="1"/>
    </xf>
    <xf numFmtId="0" fontId="1" fillId="0" borderId="0" xfId="0" applyFont="1"/>
    <xf numFmtId="0" fontId="0" fillId="0" borderId="1" xfId="0" applyBorder="1"/>
    <xf numFmtId="0" fontId="7" fillId="2" borderId="0" xfId="1" applyFont="1"/>
    <xf numFmtId="0" fontId="8" fillId="2" borderId="0" xfId="1" applyFont="1"/>
    <xf numFmtId="0" fontId="9" fillId="0" borderId="0" xfId="0" applyFont="1"/>
    <xf numFmtId="0" fontId="1" fillId="3" borderId="1" xfId="0" applyFont="1" applyFill="1" applyBorder="1" applyAlignment="1">
      <alignment vertical="top" wrapText="1"/>
    </xf>
    <xf numFmtId="0" fontId="7" fillId="2" borderId="0" xfId="1" applyFont="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wrapText="1"/>
    </xf>
    <xf numFmtId="0" fontId="7" fillId="2" borderId="0" xfId="1" applyFont="1" applyAlignment="1">
      <alignment vertical="top"/>
    </xf>
    <xf numFmtId="0" fontId="0" fillId="0" borderId="0" xfId="0" applyAlignment="1">
      <alignment vertical="top"/>
    </xf>
    <xf numFmtId="0" fontId="0" fillId="5" borderId="1" xfId="0" applyFill="1" applyBorder="1" applyAlignment="1">
      <alignment vertical="top"/>
    </xf>
    <xf numFmtId="0" fontId="0" fillId="4" borderId="1" xfId="0" applyFill="1" applyBorder="1" applyAlignment="1">
      <alignment vertical="top"/>
    </xf>
    <xf numFmtId="0" fontId="0" fillId="0" borderId="1" xfId="0" applyBorder="1" applyAlignment="1">
      <alignment vertical="top"/>
    </xf>
    <xf numFmtId="0" fontId="0" fillId="4" borderId="1" xfId="0" applyFill="1" applyBorder="1" applyAlignment="1">
      <alignment horizontal="left" vertical="top"/>
    </xf>
    <xf numFmtId="0" fontId="0" fillId="5" borderId="1" xfId="0" applyFill="1" applyBorder="1" applyAlignment="1">
      <alignment horizontal="left" vertical="top"/>
    </xf>
    <xf numFmtId="0" fontId="9" fillId="4" borderId="1" xfId="0" applyFont="1" applyFill="1" applyBorder="1" applyAlignment="1">
      <alignment horizontal="left" vertical="top"/>
    </xf>
    <xf numFmtId="0" fontId="1" fillId="0" borderId="1" xfId="0" applyFont="1" applyBorder="1" applyAlignment="1">
      <alignment vertical="top" wrapText="1"/>
    </xf>
    <xf numFmtId="0" fontId="10" fillId="2" borderId="0" xfId="1" applyFont="1" applyAlignment="1">
      <alignment horizontal="left" vertical="top" wrapText="1"/>
    </xf>
    <xf numFmtId="0" fontId="0" fillId="5" borderId="3" xfId="0" applyFill="1" applyBorder="1" applyAlignment="1">
      <alignment horizontal="left" vertical="top" wrapText="1"/>
    </xf>
    <xf numFmtId="0" fontId="0" fillId="9" borderId="0" xfId="0" applyFill="1" applyAlignment="1">
      <alignment vertical="center"/>
    </xf>
    <xf numFmtId="0" fontId="0" fillId="9" borderId="0" xfId="0" applyFill="1"/>
    <xf numFmtId="0" fontId="11" fillId="9" borderId="0" xfId="0" applyFont="1" applyFill="1" applyAlignment="1">
      <alignment horizontal="left" vertical="center"/>
    </xf>
    <xf numFmtId="0" fontId="12" fillId="9" borderId="0" xfId="0" applyFont="1" applyFill="1"/>
    <xf numFmtId="0" fontId="16" fillId="9" borderId="0" xfId="0" applyFont="1" applyFill="1" applyAlignment="1">
      <alignment vertical="center"/>
    </xf>
    <xf numFmtId="0" fontId="1" fillId="9" borderId="0" xfId="0" applyFont="1" applyFill="1" applyAlignment="1">
      <alignment horizontal="center" vertical="center"/>
    </xf>
    <xf numFmtId="0" fontId="0" fillId="9" borderId="0" xfId="0" applyFill="1" applyAlignment="1">
      <alignment horizontal="left" vertical="center"/>
    </xf>
    <xf numFmtId="0" fontId="13" fillId="9" borderId="0" xfId="2" applyFill="1" applyAlignment="1">
      <alignment horizontal="left" vertical="center"/>
    </xf>
    <xf numFmtId="0" fontId="13" fillId="9" borderId="0" xfId="2" applyFill="1"/>
    <xf numFmtId="0" fontId="0" fillId="9" borderId="1" xfId="0" applyFill="1" applyBorder="1" applyAlignment="1">
      <alignment horizontal="center" vertical="center"/>
    </xf>
    <xf numFmtId="17" fontId="0" fillId="9" borderId="1" xfId="0" applyNumberFormat="1" applyFill="1" applyBorder="1" applyAlignment="1">
      <alignment horizontal="center" vertical="center"/>
    </xf>
    <xf numFmtId="0" fontId="17" fillId="0" borderId="1" xfId="0" applyFont="1" applyBorder="1" applyAlignment="1">
      <alignment vertical="top"/>
    </xf>
    <xf numFmtId="0" fontId="21" fillId="0" borderId="1" xfId="0" applyFont="1" applyBorder="1" applyAlignment="1">
      <alignment vertical="top"/>
    </xf>
    <xf numFmtId="0" fontId="19" fillId="0" borderId="1" xfId="0" applyFont="1" applyBorder="1" applyAlignment="1">
      <alignment vertical="top"/>
    </xf>
    <xf numFmtId="0" fontId="23" fillId="0" borderId="1" xfId="0" applyFont="1" applyBorder="1" applyAlignment="1">
      <alignment vertical="top"/>
    </xf>
    <xf numFmtId="0" fontId="24" fillId="0" borderId="1" xfId="0" applyFont="1" applyBorder="1" applyAlignment="1">
      <alignment vertical="top"/>
    </xf>
    <xf numFmtId="0" fontId="0" fillId="0" borderId="0" xfId="0" applyAlignment="1">
      <alignment vertical="top" wrapText="1"/>
    </xf>
    <xf numFmtId="0" fontId="25" fillId="0" borderId="1" xfId="0" applyFont="1" applyBorder="1" applyAlignment="1">
      <alignment vertical="top"/>
    </xf>
    <xf numFmtId="0" fontId="26" fillId="0" borderId="0" xfId="0" quotePrefix="1" applyFont="1" applyAlignment="1">
      <alignment vertical="top"/>
    </xf>
    <xf numFmtId="0" fontId="22" fillId="0" borderId="1" xfId="0" applyFont="1" applyBorder="1" applyAlignment="1">
      <alignment vertical="top"/>
    </xf>
    <xf numFmtId="0" fontId="13" fillId="0" borderId="0" xfId="2" applyAlignment="1">
      <alignment vertical="top"/>
    </xf>
    <xf numFmtId="0" fontId="28" fillId="0" borderId="1" xfId="0" applyFont="1" applyBorder="1" applyAlignment="1">
      <alignment vertical="top" wrapText="1"/>
    </xf>
    <xf numFmtId="0" fontId="18" fillId="0" borderId="0" xfId="0" applyFont="1" applyAlignment="1">
      <alignment vertical="top"/>
    </xf>
    <xf numFmtId="0" fontId="0" fillId="10" borderId="1" xfId="0" applyFill="1" applyBorder="1" applyAlignment="1">
      <alignment horizontal="center" vertical="top"/>
    </xf>
    <xf numFmtId="0" fontId="0" fillId="0" borderId="7" xfId="0" applyBorder="1"/>
    <xf numFmtId="0" fontId="0" fillId="0" borderId="8" xfId="0" applyBorder="1"/>
    <xf numFmtId="0" fontId="0" fillId="0" borderId="9" xfId="0" applyBorder="1"/>
    <xf numFmtId="0" fontId="30" fillId="0" borderId="10" xfId="0" applyFont="1" applyBorder="1" applyAlignment="1">
      <alignment horizontal="justify" vertical="center"/>
    </xf>
    <xf numFmtId="0" fontId="0" fillId="0" borderId="11" xfId="0" applyBorder="1"/>
    <xf numFmtId="0" fontId="0" fillId="0" borderId="10" xfId="0" applyBorder="1"/>
    <xf numFmtId="0" fontId="13" fillId="0" borderId="0" xfId="2" applyBorder="1"/>
    <xf numFmtId="0" fontId="0" fillId="0" borderId="12" xfId="0" applyBorder="1"/>
    <xf numFmtId="0" fontId="0" fillId="0" borderId="13" xfId="0" applyBorder="1"/>
    <xf numFmtId="0" fontId="0" fillId="0" borderId="14" xfId="0" applyBorder="1"/>
    <xf numFmtId="0" fontId="2" fillId="12" borderId="1" xfId="0" applyFont="1" applyFill="1" applyBorder="1"/>
    <xf numFmtId="14" fontId="0" fillId="0" borderId="1" xfId="0" applyNumberFormat="1" applyBorder="1"/>
    <xf numFmtId="0" fontId="1" fillId="0" borderId="2" xfId="0" applyFont="1" applyBorder="1" applyAlignment="1">
      <alignment vertical="top" wrapText="1"/>
    </xf>
    <xf numFmtId="0" fontId="0" fillId="0" borderId="2" xfId="0" applyBorder="1" applyAlignment="1">
      <alignment vertical="top" wrapText="1"/>
    </xf>
    <xf numFmtId="0" fontId="0" fillId="0" borderId="2" xfId="0" applyBorder="1" applyAlignment="1">
      <alignment horizontal="left" vertical="top" wrapText="1"/>
    </xf>
    <xf numFmtId="0" fontId="17" fillId="0" borderId="2" xfId="0" applyFont="1" applyBorder="1" applyAlignment="1">
      <alignment vertical="top"/>
    </xf>
    <xf numFmtId="0" fontId="0" fillId="0" borderId="2" xfId="0" applyBorder="1" applyAlignment="1">
      <alignment vertical="top"/>
    </xf>
    <xf numFmtId="0" fontId="0" fillId="4" borderId="2" xfId="0" applyFill="1" applyBorder="1" applyAlignment="1">
      <alignment horizontal="left" vertical="top" wrapText="1"/>
    </xf>
    <xf numFmtId="0" fontId="0" fillId="5" borderId="2" xfId="0" applyFill="1" applyBorder="1" applyAlignment="1">
      <alignment horizontal="left" vertical="top"/>
    </xf>
    <xf numFmtId="0" fontId="19" fillId="0" borderId="2" xfId="0" applyFont="1" applyBorder="1" applyAlignment="1">
      <alignment vertical="top"/>
    </xf>
    <xf numFmtId="0" fontId="1" fillId="0" borderId="3" xfId="0" applyFont="1" applyBorder="1" applyAlignment="1">
      <alignment vertical="top" wrapText="1"/>
    </xf>
    <xf numFmtId="0" fontId="0" fillId="0" borderId="3" xfId="0" applyBorder="1" applyAlignment="1">
      <alignment vertical="top" wrapText="1"/>
    </xf>
    <xf numFmtId="0" fontId="0" fillId="0" borderId="3" xfId="0" applyBorder="1" applyAlignment="1">
      <alignment vertical="top"/>
    </xf>
    <xf numFmtId="0" fontId="0" fillId="0" borderId="3" xfId="0" applyBorder="1" applyAlignment="1">
      <alignment horizontal="left" vertical="top" wrapText="1"/>
    </xf>
    <xf numFmtId="0" fontId="17" fillId="0" borderId="3" xfId="0" applyFont="1" applyBorder="1" applyAlignment="1">
      <alignment vertical="top"/>
    </xf>
    <xf numFmtId="0" fontId="0" fillId="4" borderId="3" xfId="0" applyFill="1" applyBorder="1" applyAlignment="1">
      <alignment horizontal="left" vertical="top" wrapText="1"/>
    </xf>
    <xf numFmtId="0" fontId="0" fillId="5" borderId="3" xfId="0" applyFill="1" applyBorder="1" applyAlignment="1">
      <alignment horizontal="left" vertical="top"/>
    </xf>
    <xf numFmtId="0" fontId="19" fillId="0" borderId="3" xfId="0" applyFont="1" applyBorder="1" applyAlignment="1">
      <alignment vertical="top"/>
    </xf>
    <xf numFmtId="0" fontId="23" fillId="0" borderId="3" xfId="0" applyFont="1" applyBorder="1" applyAlignment="1">
      <alignment vertical="top"/>
    </xf>
    <xf numFmtId="0" fontId="21" fillId="0" borderId="3" xfId="0" applyFont="1" applyBorder="1" applyAlignment="1">
      <alignment vertical="top"/>
    </xf>
    <xf numFmtId="0" fontId="1" fillId="0" borderId="16" xfId="0" applyFont="1" applyBorder="1" applyAlignment="1">
      <alignment vertical="top" wrapText="1"/>
    </xf>
    <xf numFmtId="0" fontId="0" fillId="0" borderId="16" xfId="0" applyBorder="1" applyAlignment="1">
      <alignment vertical="top" wrapText="1"/>
    </xf>
    <xf numFmtId="0" fontId="0" fillId="0" borderId="16" xfId="0" applyBorder="1" applyAlignment="1">
      <alignment horizontal="left" vertical="top" wrapText="1"/>
    </xf>
    <xf numFmtId="0" fontId="17" fillId="0" borderId="16" xfId="0" applyFont="1" applyBorder="1" applyAlignment="1">
      <alignment vertical="top"/>
    </xf>
    <xf numFmtId="0" fontId="0" fillId="0" borderId="16" xfId="0" applyBorder="1" applyAlignment="1">
      <alignment vertical="top"/>
    </xf>
    <xf numFmtId="0" fontId="0" fillId="4" borderId="16" xfId="0" applyFill="1" applyBorder="1" applyAlignment="1">
      <alignment horizontal="left" vertical="top" wrapText="1"/>
    </xf>
    <xf numFmtId="0" fontId="0" fillId="5" borderId="16" xfId="0" applyFill="1" applyBorder="1" applyAlignment="1">
      <alignment horizontal="left" vertical="top"/>
    </xf>
    <xf numFmtId="0" fontId="19" fillId="0" borderId="16" xfId="0" applyFont="1" applyBorder="1" applyAlignment="1">
      <alignment vertical="top"/>
    </xf>
    <xf numFmtId="0" fontId="0" fillId="0" borderId="18" xfId="0" applyBorder="1" applyAlignment="1">
      <alignment vertical="top"/>
    </xf>
    <xf numFmtId="0" fontId="23" fillId="0" borderId="2" xfId="0" applyFont="1" applyBorder="1" applyAlignment="1">
      <alignment vertical="top"/>
    </xf>
    <xf numFmtId="0" fontId="21" fillId="0" borderId="2" xfId="0" applyFont="1" applyBorder="1" applyAlignment="1">
      <alignment vertical="top"/>
    </xf>
    <xf numFmtId="0" fontId="0" fillId="0" borderId="1" xfId="0" applyBorder="1" applyAlignment="1">
      <alignment horizontal="left"/>
    </xf>
    <xf numFmtId="0" fontId="17" fillId="0" borderId="16" xfId="0" applyFont="1" applyBorder="1" applyAlignment="1">
      <alignment vertical="top" wrapText="1"/>
    </xf>
    <xf numFmtId="0" fontId="17" fillId="0" borderId="1" xfId="0" applyFont="1" applyBorder="1" applyAlignment="1">
      <alignment vertical="top" wrapText="1"/>
    </xf>
    <xf numFmtId="0" fontId="17" fillId="0" borderId="2" xfId="0" applyFont="1" applyBorder="1" applyAlignment="1">
      <alignment vertical="top" wrapText="1"/>
    </xf>
    <xf numFmtId="0" fontId="0" fillId="0" borderId="0" xfId="0" applyAlignment="1">
      <alignment horizontal="left" vertical="top" wrapText="1"/>
    </xf>
    <xf numFmtId="0" fontId="0" fillId="0" borderId="19" xfId="0" applyBorder="1" applyAlignment="1">
      <alignment vertical="top"/>
    </xf>
    <xf numFmtId="0" fontId="36" fillId="0" borderId="0" xfId="0" applyFont="1"/>
    <xf numFmtId="0" fontId="0" fillId="5" borderId="1" xfId="0" applyFill="1" applyBorder="1"/>
    <xf numFmtId="0" fontId="0" fillId="4" borderId="1" xfId="0" applyFill="1" applyBorder="1"/>
    <xf numFmtId="0" fontId="1" fillId="0" borderId="1" xfId="0" applyFont="1" applyBorder="1" applyAlignment="1">
      <alignment horizontal="left" vertical="top" wrapText="1"/>
    </xf>
    <xf numFmtId="0" fontId="0" fillId="0" borderId="1" xfId="0" applyBorder="1" applyAlignment="1" applyProtection="1">
      <alignment horizontal="left" vertical="top" wrapText="1"/>
      <protection locked="0"/>
    </xf>
    <xf numFmtId="0" fontId="0" fillId="4" borderId="1" xfId="0" applyFill="1" applyBorder="1" applyAlignment="1">
      <alignment horizontal="left"/>
    </xf>
    <xf numFmtId="0" fontId="0" fillId="4" borderId="0" xfId="0" applyFill="1" applyAlignment="1">
      <alignment horizontal="left"/>
    </xf>
    <xf numFmtId="0" fontId="9" fillId="0" borderId="5" xfId="0" applyFont="1" applyBorder="1" applyAlignment="1">
      <alignment horizontal="left" vertical="top" wrapText="1"/>
    </xf>
    <xf numFmtId="0" fontId="0" fillId="5" borderId="2" xfId="0" applyFill="1" applyBorder="1" applyAlignment="1">
      <alignment horizontal="left"/>
    </xf>
    <xf numFmtId="0" fontId="0" fillId="5" borderId="4" xfId="0" applyFill="1" applyBorder="1" applyAlignment="1">
      <alignment horizontal="left" vertical="top" wrapText="1"/>
    </xf>
    <xf numFmtId="0" fontId="9" fillId="0" borderId="1" xfId="0" applyFont="1" applyBorder="1"/>
    <xf numFmtId="0" fontId="0" fillId="0" borderId="1" xfId="0" applyBorder="1" applyAlignment="1">
      <alignment horizontal="center" vertical="top" wrapText="1"/>
    </xf>
    <xf numFmtId="0" fontId="37" fillId="0" borderId="16" xfId="0" applyFont="1" applyBorder="1" applyAlignment="1">
      <alignment vertical="top"/>
    </xf>
    <xf numFmtId="0" fontId="28" fillId="0" borderId="2" xfId="0" applyFont="1" applyBorder="1" applyAlignment="1">
      <alignment vertical="top"/>
    </xf>
    <xf numFmtId="0" fontId="38" fillId="0" borderId="16" xfId="0" applyFont="1" applyBorder="1" applyAlignment="1">
      <alignment vertical="top"/>
    </xf>
    <xf numFmtId="0" fontId="28" fillId="0" borderId="16" xfId="0" applyFont="1" applyBorder="1" applyAlignment="1">
      <alignment vertical="top"/>
    </xf>
    <xf numFmtId="0" fontId="37" fillId="0" borderId="17" xfId="0" applyFont="1" applyBorder="1" applyAlignment="1">
      <alignment vertical="top"/>
    </xf>
    <xf numFmtId="0" fontId="38" fillId="0" borderId="17" xfId="0" applyFont="1" applyBorder="1" applyAlignment="1">
      <alignment vertical="top"/>
    </xf>
    <xf numFmtId="0" fontId="37" fillId="0" borderId="2" xfId="0" applyFont="1" applyBorder="1" applyAlignment="1">
      <alignment vertical="top"/>
    </xf>
    <xf numFmtId="0" fontId="38" fillId="0" borderId="2" xfId="0" applyFont="1" applyBorder="1" applyAlignment="1">
      <alignment vertical="top"/>
    </xf>
    <xf numFmtId="0" fontId="37" fillId="0" borderId="1" xfId="0" applyFont="1" applyBorder="1" applyAlignment="1">
      <alignment vertical="top"/>
    </xf>
    <xf numFmtId="0" fontId="38" fillId="0" borderId="1" xfId="0" applyFont="1" applyBorder="1" applyAlignment="1">
      <alignment vertical="top"/>
    </xf>
    <xf numFmtId="0" fontId="0" fillId="0" borderId="23" xfId="0" applyBorder="1" applyAlignment="1">
      <alignment vertical="top"/>
    </xf>
    <xf numFmtId="0" fontId="1" fillId="0" borderId="26" xfId="0" applyFont="1" applyBorder="1" applyAlignment="1">
      <alignment vertical="top" wrapText="1"/>
    </xf>
    <xf numFmtId="0" fontId="0" fillId="0" borderId="26" xfId="0" applyBorder="1" applyAlignment="1">
      <alignment vertical="top" wrapText="1"/>
    </xf>
    <xf numFmtId="0" fontId="0" fillId="0" borderId="26" xfId="0" applyBorder="1" applyAlignment="1">
      <alignment horizontal="left" vertical="top" wrapText="1"/>
    </xf>
    <xf numFmtId="0" fontId="17" fillId="0" borderId="26" xfId="0" applyFont="1" applyBorder="1" applyAlignment="1">
      <alignment vertical="top"/>
    </xf>
    <xf numFmtId="0" fontId="0" fillId="0" borderId="26" xfId="0" applyBorder="1" applyAlignment="1">
      <alignment vertical="top"/>
    </xf>
    <xf numFmtId="0" fontId="0" fillId="4" borderId="26" xfId="0" applyFill="1" applyBorder="1" applyAlignment="1">
      <alignment horizontal="left" vertical="top" wrapText="1"/>
    </xf>
    <xf numFmtId="0" fontId="0" fillId="5" borderId="26" xfId="0" applyFill="1" applyBorder="1" applyAlignment="1">
      <alignment horizontal="left" vertical="top"/>
    </xf>
    <xf numFmtId="0" fontId="19" fillId="0" borderId="26" xfId="0" applyFont="1" applyBorder="1" applyAlignment="1">
      <alignment vertical="top"/>
    </xf>
    <xf numFmtId="0" fontId="17" fillId="0" borderId="26" xfId="0" applyFont="1" applyBorder="1" applyAlignment="1">
      <alignment vertical="top" wrapText="1"/>
    </xf>
    <xf numFmtId="0" fontId="0" fillId="0" borderId="27" xfId="0" applyBorder="1" applyAlignment="1">
      <alignment vertical="top"/>
    </xf>
    <xf numFmtId="0" fontId="0" fillId="0" borderId="22" xfId="0" applyBorder="1" applyAlignment="1">
      <alignment horizontal="center" vertical="top"/>
    </xf>
    <xf numFmtId="0" fontId="0" fillId="0" borderId="2" xfId="0" applyBorder="1" applyAlignment="1">
      <alignment horizontal="left"/>
    </xf>
    <xf numFmtId="0" fontId="0" fillId="0" borderId="4" xfId="0" applyBorder="1" applyAlignment="1">
      <alignment horizontal="left"/>
    </xf>
    <xf numFmtId="0" fontId="0" fillId="0" borderId="3" xfId="0" applyBorder="1" applyAlignment="1">
      <alignment horizontal="left"/>
    </xf>
    <xf numFmtId="0" fontId="13" fillId="0" borderId="10" xfId="2" applyBorder="1" applyAlignment="1">
      <alignment horizontal="center" vertical="center"/>
    </xf>
    <xf numFmtId="0" fontId="13" fillId="0" borderId="0" xfId="2" applyBorder="1" applyAlignment="1">
      <alignment horizontal="center" vertical="center"/>
    </xf>
    <xf numFmtId="0" fontId="13" fillId="0" borderId="11" xfId="2" applyBorder="1" applyAlignment="1">
      <alignment horizontal="center" vertical="center"/>
    </xf>
    <xf numFmtId="0" fontId="29" fillId="0" borderId="10" xfId="0" applyFont="1" applyBorder="1" applyAlignment="1">
      <alignment horizontal="center" vertical="center"/>
    </xf>
    <xf numFmtId="0" fontId="29" fillId="0" borderId="0" xfId="0" applyFont="1" applyAlignment="1">
      <alignment horizontal="center" vertical="center"/>
    </xf>
    <xf numFmtId="0" fontId="29" fillId="0" borderId="11" xfId="0" applyFont="1" applyBorder="1" applyAlignment="1">
      <alignment horizontal="center" vertical="center"/>
    </xf>
    <xf numFmtId="0" fontId="30" fillId="0" borderId="10" xfId="0" applyFont="1" applyBorder="1" applyAlignment="1">
      <alignment horizontal="center" vertical="center"/>
    </xf>
    <xf numFmtId="0" fontId="30" fillId="0" borderId="0" xfId="0" applyFont="1" applyAlignment="1">
      <alignment horizontal="center" vertical="center"/>
    </xf>
    <xf numFmtId="0" fontId="30" fillId="0" borderId="11" xfId="0" applyFont="1" applyBorder="1" applyAlignment="1">
      <alignment horizontal="center" vertical="center"/>
    </xf>
    <xf numFmtId="0" fontId="0" fillId="0" borderId="0" xfId="0" applyAlignment="1">
      <alignment horizontal="center"/>
    </xf>
    <xf numFmtId="0" fontId="31" fillId="0" borderId="10" xfId="0" applyFont="1" applyBorder="1" applyAlignment="1">
      <alignment horizontal="center" vertical="center"/>
    </xf>
    <xf numFmtId="0" fontId="31" fillId="0" borderId="0" xfId="0" applyFont="1" applyAlignment="1">
      <alignment horizontal="center" vertical="center"/>
    </xf>
    <xf numFmtId="0" fontId="31" fillId="0" borderId="11" xfId="0" applyFont="1" applyBorder="1" applyAlignment="1">
      <alignment horizontal="center" vertical="center"/>
    </xf>
    <xf numFmtId="0" fontId="33" fillId="0" borderId="10" xfId="0" applyFont="1" applyBorder="1" applyAlignment="1">
      <alignment horizontal="center" vertical="center"/>
    </xf>
    <xf numFmtId="0" fontId="33" fillId="0" borderId="0" xfId="0" applyFont="1" applyAlignment="1">
      <alignment horizontal="center" vertical="center"/>
    </xf>
    <xf numFmtId="0" fontId="33" fillId="0" borderId="11" xfId="0" applyFont="1" applyBorder="1" applyAlignment="1">
      <alignment horizontal="center" vertical="center"/>
    </xf>
    <xf numFmtId="0" fontId="2" fillId="11" borderId="15" xfId="0" applyFont="1" applyFill="1" applyBorder="1" applyAlignment="1">
      <alignment horizontal="center"/>
    </xf>
    <xf numFmtId="0" fontId="2" fillId="12" borderId="2" xfId="0" applyFont="1" applyFill="1" applyBorder="1" applyAlignment="1">
      <alignment horizontal="left"/>
    </xf>
    <xf numFmtId="0" fontId="2" fillId="12" borderId="4" xfId="0" applyFont="1" applyFill="1" applyBorder="1" applyAlignment="1">
      <alignment horizontal="left"/>
    </xf>
    <xf numFmtId="0" fontId="2" fillId="12" borderId="3" xfId="0" applyFont="1" applyFill="1" applyBorder="1" applyAlignment="1">
      <alignment horizontal="left"/>
    </xf>
    <xf numFmtId="0" fontId="15" fillId="9" borderId="0" xfId="0" applyFont="1" applyFill="1" applyAlignment="1">
      <alignment horizontal="left" vertical="center"/>
    </xf>
    <xf numFmtId="0" fontId="0" fillId="9" borderId="1" xfId="0" applyFill="1" applyBorder="1" applyAlignment="1">
      <alignment horizontal="center" vertical="center"/>
    </xf>
    <xf numFmtId="0" fontId="0" fillId="9" borderId="1" xfId="0" applyFill="1" applyBorder="1" applyAlignment="1">
      <alignment horizontal="left" vertical="center"/>
    </xf>
    <xf numFmtId="0" fontId="11" fillId="9" borderId="0" xfId="0" applyFont="1" applyFill="1" applyAlignment="1">
      <alignment horizontal="left" vertical="center"/>
    </xf>
    <xf numFmtId="0" fontId="13" fillId="9" borderId="0" xfId="2" applyFill="1" applyAlignment="1">
      <alignment vertical="top" wrapText="1"/>
    </xf>
    <xf numFmtId="0" fontId="14" fillId="9" borderId="0" xfId="2" applyFont="1" applyFill="1" applyAlignment="1">
      <alignment horizontal="left" vertical="center"/>
    </xf>
    <xf numFmtId="0" fontId="0" fillId="9" borderId="0" xfId="0" applyFill="1" applyAlignment="1">
      <alignment vertical="top" wrapText="1"/>
    </xf>
    <xf numFmtId="0" fontId="0" fillId="9" borderId="0" xfId="0" applyFill="1" applyAlignment="1">
      <alignment horizontal="left" vertical="top"/>
    </xf>
    <xf numFmtId="0" fontId="0" fillId="6" borderId="0" xfId="0" applyFill="1" applyAlignment="1">
      <alignment horizontal="left"/>
    </xf>
    <xf numFmtId="0" fontId="0" fillId="8" borderId="0" xfId="0" applyFill="1" applyAlignment="1">
      <alignment horizontal="left"/>
    </xf>
    <xf numFmtId="0" fontId="0" fillId="7" borderId="0" xfId="0" applyFill="1" applyAlignment="1">
      <alignment horizontal="left"/>
    </xf>
    <xf numFmtId="0" fontId="0" fillId="9" borderId="2" xfId="0" applyFill="1" applyBorder="1" applyAlignment="1">
      <alignment horizontal="center" vertical="center"/>
    </xf>
    <xf numFmtId="0" fontId="0" fillId="9" borderId="3" xfId="0" applyFill="1" applyBorder="1" applyAlignment="1">
      <alignment horizontal="center" vertical="center"/>
    </xf>
    <xf numFmtId="0" fontId="0" fillId="9" borderId="2" xfId="0" applyFill="1" applyBorder="1" applyAlignment="1">
      <alignment horizontal="left" vertical="center"/>
    </xf>
    <xf numFmtId="0" fontId="0" fillId="9" borderId="4" xfId="0" applyFill="1" applyBorder="1" applyAlignment="1">
      <alignment horizontal="left" vertical="center"/>
    </xf>
    <xf numFmtId="0" fontId="0" fillId="9" borderId="3" xfId="0" applyFill="1" applyBorder="1" applyAlignment="1">
      <alignment horizontal="left" vertical="center"/>
    </xf>
    <xf numFmtId="0" fontId="0" fillId="0" borderId="6"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center" vertical="top" wrapText="1"/>
    </xf>
    <xf numFmtId="0" fontId="0" fillId="0" borderId="0" xfId="0" applyAlignment="1">
      <alignment horizontal="center" vertical="top" wrapText="1"/>
    </xf>
    <xf numFmtId="0" fontId="27" fillId="10" borderId="28" xfId="0" applyFont="1" applyFill="1" applyBorder="1" applyAlignment="1">
      <alignment horizontal="center" vertical="center" wrapText="1"/>
    </xf>
    <xf numFmtId="0" fontId="19" fillId="10" borderId="2" xfId="0" applyFont="1" applyFill="1" applyBorder="1" applyAlignment="1">
      <alignment horizontal="right" vertical="top"/>
    </xf>
    <xf numFmtId="0" fontId="19" fillId="10" borderId="3" xfId="0" applyFont="1" applyFill="1" applyBorder="1" applyAlignment="1">
      <alignment horizontal="right" vertical="top"/>
    </xf>
    <xf numFmtId="0" fontId="0" fillId="0" borderId="20" xfId="0" applyBorder="1" applyAlignment="1">
      <alignment horizontal="center" vertical="top"/>
    </xf>
    <xf numFmtId="0" fontId="0" fillId="0" borderId="21" xfId="0" applyBorder="1" applyAlignment="1">
      <alignment horizontal="center" vertical="top"/>
    </xf>
    <xf numFmtId="0" fontId="0" fillId="0" borderId="24" xfId="0" applyBorder="1" applyAlignment="1">
      <alignment horizontal="center" vertical="top"/>
    </xf>
    <xf numFmtId="0" fontId="0" fillId="0" borderId="22" xfId="0" applyBorder="1" applyAlignment="1">
      <alignment horizontal="center" vertical="top"/>
    </xf>
    <xf numFmtId="0" fontId="0" fillId="0" borderId="25" xfId="0" applyBorder="1" applyAlignment="1">
      <alignment horizontal="center" vertical="top"/>
    </xf>
  </cellXfs>
  <cellStyles count="4">
    <cellStyle name="Accent5" xfId="1" builtinId="45"/>
    <cellStyle name="Lien hypertexte" xfId="2" builtinId="8"/>
    <cellStyle name="Normal" xfId="0" builtinId="0"/>
    <cellStyle name="Normal 2" xfId="3" xr:uid="{00000000-0005-0000-0000-000003000000}"/>
  </cellStyles>
  <dxfs count="2">
    <dxf>
      <fill>
        <patternFill patternType="darkUp"/>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calcChain" Target="calcChain.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theme" Target="theme/theme1.xml"/>
  <Relationship Id="rId8" Type="http://schemas.openxmlformats.org/officeDocument/2006/relationships/styles" Target="styles.xml"/>
  <Relationship Id="rId9"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2</xdr:col>
      <xdr:colOff>2809875</xdr:colOff>
      <xdr:row>10</xdr:row>
      <xdr:rowOff>152400</xdr:rowOff>
    </xdr:from>
    <xdr:to>
      <xdr:col>7</xdr:col>
      <xdr:colOff>666750</xdr:colOff>
      <xdr:row>17</xdr:row>
      <xdr:rowOff>104775</xdr:rowOff>
    </xdr:to>
    <xdr:pic>
      <xdr:nvPicPr>
        <xdr:cNvPr id="3" name="Image 2" descr="Financial_Services_Logo-white-background">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2925" y="2190750"/>
          <a:ext cx="3124200" cy="12858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docinfogroupe.inetpsa.com/ead/doc/ref.20373_16_04965/v.dp/fiche"/>
  <Relationship Id="rId2" Type="http://schemas.openxmlformats.org/officeDocument/2006/relationships/hyperlink" TargetMode="External" Target="http://docinfogroupe.inetpsa.com/ead/doc/ref.20373_22_04503/v.vc/fiche"/>
  <Relationship Id="rId3" Type="http://schemas.openxmlformats.org/officeDocument/2006/relationships/hyperlink" TargetMode="External" Target="https://meteor-it.inetpsa.com/Documentation/BUILD_Documentation/Deliverables/Engineering/Access_rights_matrix.html"/>
  <Relationship Id="rId4" Type="http://schemas.openxmlformats.org/officeDocument/2006/relationships/hyperlink" TargetMode="External" Target="https://docinfogroupe.stellantis.com/ead/doc/ref.20373_26_01288/v.vc/pj"/>
  <Relationship Id="rId5" Type="http://schemas.openxmlformats.org/officeDocument/2006/relationships/printerSettings" Target="../printerSettings/printerSettings1.bin"/>
  <Relationship Id="rId6" Type="http://schemas.openxmlformats.org/officeDocument/2006/relationships/drawing" Target="../drawings/drawing1.xml"/>
</Relationships>

</file>

<file path=xl/worksheets/_rels/sheet2.xml.rels><?xml version="1.0" encoding="UTF-8"?>

<Relationships xmlns="http://schemas.openxmlformats.org/package/2006/relationships">
  <Relationship Id="rId1" Type="http://schemas.openxmlformats.org/officeDocument/2006/relationships/hyperlink" TargetMode="External" Target="http://reflex.inetpsa.com/PV4/Applications/Application/Application?area=Applications"/>
  <Relationship Id="rId2" Type="http://schemas.openxmlformats.org/officeDocument/2006/relationships/hyperlink" TargetMode="External" Target="http://docinfogroupe.inetpsa.com/ead/doc/ref.20531_10_04446/v.vc/pj/lg.fr_FR"/>
  <Relationship Id="rId3" Type="http://schemas.openxmlformats.org/officeDocument/2006/relationships/hyperlink" TargetMode="External" Target="http://reunis.inetpsa.com/portail/index.html"/>
  <Relationship Id="rId4" Type="http://schemas.openxmlformats.org/officeDocument/2006/relationships/hyperlink" TargetMode="External" Target="http://seculogiq.inetpsa.com/"/>
  <Relationship Id="rId5" Type="http://schemas.openxmlformats.org/officeDocument/2006/relationships/printerSettings" Target="../printerSettings/printerSettings2.bin"/>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 Id="rId2" Type="http://schemas.openxmlformats.org/officeDocument/2006/relationships/vmlDrawing" Target="../drawings/vmlDrawing1.vml"/>
  <Relationship Id="rId3" Type="http://schemas.openxmlformats.org/officeDocument/2006/relationships/comments" Target="../comments1.xml"/>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 Id="rId2" Type="http://schemas.openxmlformats.org/officeDocument/2006/relationships/vmlDrawing" Target="../drawings/vmlDrawing2.vml"/>
  <Relationship Id="rId3" Type="http://schemas.openxmlformats.org/officeDocument/2006/relationships/comments" Target="../comments2.xml"/>
</Relationships>

</file>

<file path=xl/worksheets/_rels/sheet5.xml.rels><?xml version="1.0" encoding="UTF-8"?>

<Relationships xmlns="http://schemas.openxmlformats.org/package/2006/relationships">
  <Relationship Id="rId1" Type="http://schemas.openxmlformats.org/officeDocument/2006/relationships/hyperlink" TargetMode="External" Target="https://meteor-it.inetpsa.com/Documentation/BUILD_Documentation/Deliverables/Engineering/Access_rights_matrix.html"/>
  <Relationship Id="rId2" Type="http://schemas.openxmlformats.org/officeDocument/2006/relationships/printerSettings" Target="../printerSettings/printerSettings5.bin"/>
  <Relationship Id="rId3" Type="http://schemas.openxmlformats.org/officeDocument/2006/relationships/vmlDrawing" Target="../drawings/vmlDrawing3.vml"/>
  <Relationship Id="rId4" Type="http://schemas.openxmlformats.org/officeDocument/2006/relationships/comments" Target="../comments3.xml"/>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6.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showGridLines="0" tabSelected="1" workbookViewId="0">
      <selection activeCell="A10" sqref="A10:L10"/>
    </sheetView>
  </sheetViews>
  <sheetFormatPr baseColWidth="10" defaultColWidth="11.5703125" defaultRowHeight="15"/>
  <cols>
    <col min="3" max="3" width="45.7109375" bestFit="1" customWidth="1"/>
    <col min="4" max="4" width="4.42578125" customWidth="1"/>
    <col min="5" max="5" width="5.7109375" customWidth="1"/>
  </cols>
  <sheetData>
    <row r="1" spans="1:12">
      <c r="A1" s="49"/>
      <c r="B1" s="50"/>
      <c r="C1" s="50"/>
      <c r="D1" s="50"/>
      <c r="E1" s="50"/>
      <c r="F1" s="50"/>
      <c r="G1" s="50"/>
      <c r="H1" s="50"/>
      <c r="I1" s="50"/>
      <c r="J1" s="50"/>
      <c r="K1" s="50"/>
      <c r="L1" s="51"/>
    </row>
    <row r="2" spans="1:12" ht="25.5">
      <c r="A2" s="136" t="s">
        <v>237</v>
      </c>
      <c r="B2" s="137"/>
      <c r="C2" s="137"/>
      <c r="D2" s="137"/>
      <c r="E2" s="137"/>
      <c r="F2" s="137"/>
      <c r="G2" s="137"/>
      <c r="H2" s="137"/>
      <c r="I2" s="137"/>
      <c r="J2" s="137"/>
      <c r="K2" s="137"/>
      <c r="L2" s="138"/>
    </row>
    <row r="3" spans="1:12">
      <c r="A3" s="139" t="s">
        <v>238</v>
      </c>
      <c r="B3" s="140"/>
      <c r="C3" s="140"/>
      <c r="D3" s="140"/>
      <c r="E3" s="140"/>
      <c r="F3" s="140"/>
      <c r="G3" s="140"/>
      <c r="H3" s="140"/>
      <c r="I3" s="140"/>
      <c r="J3" s="140"/>
      <c r="K3" s="140"/>
      <c r="L3" s="141"/>
    </row>
    <row r="4" spans="1:12">
      <c r="A4" s="52"/>
      <c r="E4" s="142" t="s">
        <v>0</v>
      </c>
      <c r="F4" s="142"/>
      <c r="G4" s="142"/>
      <c r="H4" s="142"/>
      <c r="L4" s="53"/>
    </row>
    <row r="5" spans="1:12">
      <c r="A5" s="52"/>
      <c r="L5" s="53"/>
    </row>
    <row r="6" spans="1:12">
      <c r="A6" s="143" t="s">
        <v>221</v>
      </c>
      <c r="B6" s="144"/>
      <c r="C6" s="144"/>
      <c r="D6" s="144"/>
      <c r="E6" s="144"/>
      <c r="F6" s="144"/>
      <c r="G6" s="144"/>
      <c r="H6" s="144"/>
      <c r="I6" s="144"/>
      <c r="J6" s="144"/>
      <c r="K6" s="144"/>
      <c r="L6" s="145"/>
    </row>
    <row r="7" spans="1:12">
      <c r="A7" s="52"/>
      <c r="L7" s="53"/>
    </row>
    <row r="8" spans="1:12">
      <c r="A8" s="146" t="s">
        <v>1</v>
      </c>
      <c r="B8" s="147"/>
      <c r="C8" s="147"/>
      <c r="D8" s="147"/>
      <c r="E8" s="147"/>
      <c r="F8" s="147"/>
      <c r="G8" s="147"/>
      <c r="H8" s="147"/>
      <c r="I8" s="147"/>
      <c r="J8" s="147"/>
      <c r="K8" s="147"/>
      <c r="L8" s="148"/>
    </row>
    <row r="9" spans="1:12">
      <c r="A9" s="133" t="s">
        <v>2</v>
      </c>
      <c r="B9" s="134"/>
      <c r="C9" s="134"/>
      <c r="D9" s="134"/>
      <c r="E9" s="134"/>
      <c r="F9" s="134"/>
      <c r="G9" s="134"/>
      <c r="H9" s="134"/>
      <c r="I9" s="134"/>
      <c r="J9" s="134"/>
      <c r="K9" s="134"/>
      <c r="L9" s="135"/>
    </row>
    <row r="10" spans="1:12">
      <c r="A10" s="133" t="s">
        <v>239</v>
      </c>
      <c r="B10" s="134"/>
      <c r="C10" s="134"/>
      <c r="D10" s="134"/>
      <c r="E10" s="134"/>
      <c r="F10" s="134"/>
      <c r="G10" s="134"/>
      <c r="H10" s="134"/>
      <c r="I10" s="134"/>
      <c r="J10" s="134"/>
      <c r="K10" s="134"/>
      <c r="L10" s="135"/>
    </row>
    <row r="11" spans="1:12">
      <c r="A11" s="52"/>
      <c r="L11" s="53"/>
    </row>
    <row r="12" spans="1:12">
      <c r="A12" s="52"/>
      <c r="L12" s="53"/>
    </row>
    <row r="13" spans="1:12">
      <c r="A13" s="52"/>
      <c r="L13" s="53"/>
    </row>
    <row r="14" spans="1:12">
      <c r="A14" s="52"/>
      <c r="L14" s="53"/>
    </row>
    <row r="15" spans="1:12">
      <c r="A15" s="52"/>
      <c r="L15" s="53"/>
    </row>
    <row r="16" spans="1:12">
      <c r="A16" s="52"/>
      <c r="L16" s="53"/>
    </row>
    <row r="17" spans="1:12">
      <c r="A17" s="54"/>
      <c r="L17" s="53"/>
    </row>
    <row r="18" spans="1:12">
      <c r="A18" s="54"/>
      <c r="L18" s="53"/>
    </row>
    <row r="19" spans="1:12">
      <c r="A19" s="54"/>
      <c r="L19" s="53"/>
    </row>
    <row r="20" spans="1:12">
      <c r="A20" s="54"/>
      <c r="F20" s="55" t="s">
        <v>3</v>
      </c>
      <c r="L20" s="53"/>
    </row>
    <row r="21" spans="1:12" ht="15.75" thickBot="1">
      <c r="A21" s="56"/>
      <c r="B21" s="57"/>
      <c r="C21" s="57"/>
      <c r="D21" s="57"/>
      <c r="E21" s="57"/>
      <c r="F21" s="57"/>
      <c r="G21" s="57"/>
      <c r="H21" s="57"/>
      <c r="I21" s="57"/>
      <c r="J21" s="57"/>
      <c r="K21" s="57"/>
      <c r="L21" s="58"/>
    </row>
    <row r="24" spans="1:12">
      <c r="A24" s="149" t="s">
        <v>4</v>
      </c>
      <c r="B24" s="149"/>
      <c r="C24" s="149"/>
      <c r="D24" s="149"/>
      <c r="E24" s="149"/>
      <c r="F24" s="149"/>
      <c r="G24" s="149"/>
      <c r="H24" s="149"/>
      <c r="I24" s="149"/>
      <c r="J24" s="149"/>
      <c r="K24" s="149"/>
      <c r="L24" s="149"/>
    </row>
    <row r="25" spans="1:12">
      <c r="A25" s="59" t="s">
        <v>5</v>
      </c>
      <c r="B25" s="59" t="s">
        <v>6</v>
      </c>
      <c r="C25" s="59" t="s">
        <v>7</v>
      </c>
      <c r="D25" s="150" t="s">
        <v>8</v>
      </c>
      <c r="E25" s="151"/>
      <c r="F25" s="151"/>
      <c r="G25" s="151"/>
      <c r="H25" s="151"/>
      <c r="I25" s="151"/>
      <c r="J25" s="151"/>
      <c r="K25" s="151"/>
      <c r="L25" s="152"/>
    </row>
    <row r="26" spans="1:12">
      <c r="A26" s="3" t="s">
        <v>9</v>
      </c>
      <c r="B26" s="60">
        <v>44754</v>
      </c>
      <c r="C26" s="3" t="s">
        <v>10</v>
      </c>
      <c r="D26" s="130" t="s">
        <v>11</v>
      </c>
      <c r="E26" s="131"/>
      <c r="F26" s="131"/>
      <c r="G26" s="131"/>
      <c r="H26" s="131"/>
      <c r="I26" s="131"/>
      <c r="J26" s="131"/>
      <c r="K26" s="131"/>
      <c r="L26" s="132"/>
    </row>
    <row r="27" spans="1:12">
      <c r="A27" s="3" t="s">
        <v>12</v>
      </c>
      <c r="B27" s="60">
        <v>44827</v>
      </c>
      <c r="C27" s="3" t="s">
        <v>10</v>
      </c>
      <c r="D27" s="130" t="s">
        <v>13</v>
      </c>
      <c r="E27" s="131"/>
      <c r="F27" s="131"/>
      <c r="G27" s="131"/>
      <c r="H27" s="131"/>
      <c r="I27" s="131"/>
      <c r="J27" s="131"/>
      <c r="K27" s="131"/>
      <c r="L27" s="132"/>
    </row>
    <row r="28" spans="1:12">
      <c r="A28" s="3" t="s">
        <v>14</v>
      </c>
      <c r="B28" s="60">
        <v>44909</v>
      </c>
      <c r="C28" s="3" t="s">
        <v>15</v>
      </c>
      <c r="D28" s="130" t="s">
        <v>16</v>
      </c>
      <c r="E28" s="131"/>
      <c r="F28" s="131"/>
      <c r="G28" s="131"/>
      <c r="H28" s="131"/>
      <c r="I28" s="131"/>
      <c r="J28" s="131"/>
      <c r="K28" s="131"/>
      <c r="L28" s="132"/>
    </row>
    <row r="29" spans="1:12">
      <c r="A29" s="90">
        <v>2.2000000000000002</v>
      </c>
      <c r="B29" s="60">
        <v>45209</v>
      </c>
      <c r="C29" s="3" t="s">
        <v>17</v>
      </c>
      <c r="D29" s="130" t="s">
        <v>18</v>
      </c>
      <c r="E29" s="131"/>
      <c r="F29" s="131"/>
      <c r="G29" s="131"/>
      <c r="H29" s="131"/>
      <c r="I29" s="131"/>
      <c r="J29" s="131"/>
      <c r="K29" s="131"/>
      <c r="L29" s="132"/>
    </row>
    <row r="30" spans="1:12">
      <c r="A30" s="90" t="s">
        <v>187</v>
      </c>
      <c r="B30" s="60">
        <v>45245</v>
      </c>
      <c r="C30" s="3" t="s">
        <v>188</v>
      </c>
      <c r="D30" s="130" t="s">
        <v>204</v>
      </c>
      <c r="E30" s="131"/>
      <c r="F30" s="131"/>
      <c r="G30" s="131"/>
      <c r="H30" s="131"/>
      <c r="I30" s="131"/>
      <c r="J30" s="131"/>
      <c r="K30" s="131"/>
      <c r="L30" s="132"/>
    </row>
    <row r="31" spans="1:12">
      <c r="A31" s="3" t="s">
        <v>214</v>
      </c>
      <c r="B31" s="60">
        <v>45282</v>
      </c>
      <c r="C31" s="3" t="s">
        <v>215</v>
      </c>
      <c r="D31" s="130" t="s">
        <v>216</v>
      </c>
      <c r="E31" s="131"/>
      <c r="F31" s="131"/>
      <c r="G31" s="131"/>
      <c r="H31" s="131"/>
      <c r="I31" s="131"/>
      <c r="J31" s="131"/>
      <c r="K31" s="131"/>
      <c r="L31" s="132"/>
    </row>
    <row r="32" spans="1:12">
      <c r="A32" s="3" t="s">
        <v>222</v>
      </c>
      <c r="B32" s="60">
        <v>45632</v>
      </c>
      <c r="C32" s="3" t="s">
        <v>223</v>
      </c>
      <c r="D32" s="130" t="s">
        <v>224</v>
      </c>
      <c r="E32" s="131"/>
      <c r="F32" s="131"/>
      <c r="G32" s="131"/>
      <c r="H32" s="131"/>
      <c r="I32" s="131"/>
      <c r="J32" s="131"/>
      <c r="K32" s="131"/>
      <c r="L32" s="132"/>
    </row>
    <row r="33" spans="1:12">
      <c r="A33" s="3" t="s">
        <v>235</v>
      </c>
      <c r="B33" s="60">
        <v>46099</v>
      </c>
      <c r="C33" s="3" t="s">
        <v>223</v>
      </c>
      <c r="D33" s="130" t="s">
        <v>236</v>
      </c>
      <c r="E33" s="131"/>
      <c r="F33" s="131"/>
      <c r="G33" s="131"/>
      <c r="H33" s="131"/>
      <c r="I33" s="131"/>
      <c r="J33" s="131"/>
      <c r="K33" s="131"/>
      <c r="L33" s="132"/>
    </row>
  </sheetData>
  <mergeCells count="17">
    <mergeCell ref="A10:L10"/>
    <mergeCell ref="D33:L33"/>
    <mergeCell ref="A9:L9"/>
    <mergeCell ref="A2:L2"/>
    <mergeCell ref="A3:L3"/>
    <mergeCell ref="E4:H4"/>
    <mergeCell ref="A6:L6"/>
    <mergeCell ref="A8:L8"/>
    <mergeCell ref="D32:L32"/>
    <mergeCell ref="D31:L31"/>
    <mergeCell ref="A24:L24"/>
    <mergeCell ref="D25:L25"/>
    <mergeCell ref="D26:L26"/>
    <mergeCell ref="D27:L27"/>
    <mergeCell ref="D28:L28"/>
    <mergeCell ref="D29:L29"/>
    <mergeCell ref="D30:L30"/>
  </mergeCells>
  <phoneticPr fontId="40" type="noConversion"/>
  <hyperlinks>
    <hyperlink ref="A9" r:id="rId1" display="http://docinfogroupe.inetpsa.com/ead/doc/ref.20373_16_04965/v.dp/fiche" xr:uid="{00000000-0004-0000-0000-000000000000}"/>
    <hyperlink ref="A9:L9" r:id="rId2" display="THANK YOU TO DOWNLOAD THE CURRENT VERSION: HERE" xr:uid="{00000000-0004-0000-0000-000001000000}"/>
    <hyperlink ref="F20" r:id="rId3" xr:uid="{00000000-0004-0000-0000-000002000000}"/>
    <hyperlink ref="A10:L10" r:id="rId4" display="Reference of right matrix model for CIQ, CICD and AWS CONSOLE TeiC can be found here" xr:uid="{6D3798B8-2386-434F-B5E7-9D474B722A3F}"/>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A1:AD59"/>
  <sheetViews>
    <sheetView topLeftCell="A4" zoomScaleNormal="100" workbookViewId="0">
      <selection activeCell="E30" sqref="E30:P30"/>
    </sheetView>
  </sheetViews>
  <sheetFormatPr baseColWidth="10" defaultColWidth="11.42578125" defaultRowHeight="15"/>
  <cols>
    <col min="3" max="3" width="17.28515625" customWidth="1"/>
  </cols>
  <sheetData>
    <row r="1" spans="1:30">
      <c r="A1" s="25"/>
      <c r="B1" s="25"/>
      <c r="C1" s="25"/>
      <c r="D1" s="25"/>
      <c r="E1" s="26"/>
      <c r="F1" s="26"/>
      <c r="G1" s="26"/>
      <c r="H1" s="26"/>
      <c r="I1" s="26"/>
      <c r="J1" s="26"/>
      <c r="K1" s="26"/>
      <c r="L1" s="26"/>
      <c r="M1" s="26"/>
      <c r="N1" s="26"/>
      <c r="O1" s="26"/>
      <c r="P1" s="26"/>
      <c r="Q1" s="26"/>
      <c r="R1" s="26"/>
      <c r="S1" s="26"/>
      <c r="T1" s="26"/>
      <c r="U1" s="26"/>
      <c r="V1" s="26"/>
      <c r="W1" s="26"/>
      <c r="X1" s="26"/>
      <c r="Y1" s="26"/>
      <c r="Z1" s="26"/>
      <c r="AA1" s="26"/>
      <c r="AB1" s="26"/>
      <c r="AC1" s="26"/>
      <c r="AD1" s="26"/>
    </row>
    <row r="2" spans="1:30" ht="33.75">
      <c r="A2" s="156" t="s">
        <v>19</v>
      </c>
      <c r="B2" s="156"/>
      <c r="C2" s="156"/>
      <c r="D2" s="156"/>
      <c r="E2" s="156"/>
      <c r="F2" s="156"/>
      <c r="G2" s="156"/>
      <c r="H2" s="156"/>
      <c r="I2" s="156"/>
      <c r="J2" s="156"/>
      <c r="K2" s="26"/>
      <c r="L2" s="26"/>
      <c r="M2" s="26"/>
      <c r="N2" s="26"/>
      <c r="O2" s="26"/>
      <c r="P2" s="26"/>
      <c r="Q2" s="26"/>
      <c r="R2" s="26"/>
      <c r="S2" s="26"/>
      <c r="T2" s="26"/>
      <c r="U2" s="26"/>
      <c r="V2" s="26"/>
      <c r="W2" s="26"/>
      <c r="X2" s="26"/>
      <c r="Y2" s="26"/>
      <c r="Z2" s="26"/>
      <c r="AA2" s="26"/>
      <c r="AB2" s="26"/>
      <c r="AC2" s="26"/>
      <c r="AD2" s="26"/>
    </row>
    <row r="3" spans="1:30" ht="33.75">
      <c r="A3" s="27"/>
      <c r="B3" s="27"/>
      <c r="C3" s="27"/>
      <c r="D3" s="27"/>
      <c r="E3" s="27"/>
      <c r="F3" s="27"/>
      <c r="G3" s="27"/>
      <c r="H3" s="27"/>
      <c r="I3" s="27"/>
      <c r="J3" s="27"/>
      <c r="K3" s="26"/>
      <c r="L3" s="26"/>
      <c r="M3" s="26"/>
      <c r="N3" s="26"/>
      <c r="O3" s="26"/>
      <c r="P3" s="26"/>
      <c r="Q3" s="26"/>
      <c r="R3" s="26"/>
      <c r="S3" s="26"/>
      <c r="T3" s="26"/>
      <c r="U3" s="26"/>
      <c r="V3" s="26"/>
      <c r="W3" s="26"/>
      <c r="X3" s="26"/>
      <c r="Y3" s="26"/>
      <c r="Z3" s="26"/>
      <c r="AA3" s="26"/>
      <c r="AB3" s="26"/>
      <c r="AC3" s="26"/>
      <c r="AD3" s="26"/>
    </row>
    <row r="4" spans="1:30" ht="26.25">
      <c r="A4" s="28" t="s">
        <v>20</v>
      </c>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row>
    <row r="5" spans="1:30">
      <c r="A5" s="159" t="s">
        <v>21</v>
      </c>
      <c r="B5" s="159"/>
      <c r="C5" s="159"/>
      <c r="D5" s="159"/>
      <c r="E5" s="159"/>
      <c r="F5" s="159"/>
      <c r="G5" s="159"/>
      <c r="H5" s="159"/>
      <c r="I5" s="159"/>
      <c r="J5" s="159"/>
      <c r="K5" s="159"/>
      <c r="L5" s="159"/>
      <c r="M5" s="159"/>
      <c r="N5" s="159"/>
      <c r="O5" s="159"/>
      <c r="P5" s="159"/>
      <c r="Q5" s="26"/>
      <c r="R5" s="26"/>
      <c r="S5" s="26"/>
      <c r="T5" s="26"/>
      <c r="U5" s="26"/>
      <c r="V5" s="26"/>
      <c r="W5" s="26"/>
      <c r="X5" s="26"/>
      <c r="Y5" s="26"/>
      <c r="Z5" s="26"/>
      <c r="AA5" s="26"/>
      <c r="AB5" s="26"/>
      <c r="AC5" s="26"/>
      <c r="AD5" s="26"/>
    </row>
    <row r="6" spans="1:30">
      <c r="A6" s="26" t="s">
        <v>22</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row>
    <row r="7" spans="1:30">
      <c r="A7" s="157" t="s">
        <v>23</v>
      </c>
      <c r="B7" s="157"/>
      <c r="C7" s="157"/>
      <c r="D7" s="157"/>
      <c r="E7" s="157"/>
      <c r="F7" s="157"/>
      <c r="G7" s="157"/>
      <c r="H7" s="157"/>
      <c r="I7" s="157"/>
      <c r="J7" s="157"/>
      <c r="K7" s="157"/>
      <c r="L7" s="157"/>
      <c r="M7" s="157"/>
      <c r="N7" s="157"/>
      <c r="O7" s="157"/>
      <c r="P7" s="157"/>
      <c r="Q7" s="26"/>
      <c r="R7" s="26"/>
      <c r="S7" s="26"/>
      <c r="T7" s="26"/>
      <c r="U7" s="26"/>
      <c r="V7" s="26"/>
      <c r="W7" s="26"/>
      <c r="X7" s="26"/>
      <c r="Y7" s="26"/>
      <c r="Z7" s="26"/>
      <c r="AA7" s="26"/>
      <c r="AB7" s="26"/>
      <c r="AC7" s="26"/>
      <c r="AD7" s="26"/>
    </row>
    <row r="8" spans="1:30" ht="15.75">
      <c r="A8" s="158"/>
      <c r="B8" s="158"/>
      <c r="C8" s="158"/>
      <c r="D8" s="158"/>
      <c r="E8" s="158"/>
      <c r="F8" s="158"/>
      <c r="G8" s="158"/>
      <c r="H8" s="158"/>
      <c r="I8" s="158"/>
      <c r="J8" s="158"/>
      <c r="K8" s="25"/>
      <c r="L8" s="25"/>
      <c r="M8" s="25"/>
      <c r="N8" s="25"/>
      <c r="O8" s="25"/>
      <c r="P8" s="25"/>
      <c r="Q8" s="26"/>
      <c r="R8" s="26"/>
      <c r="S8" s="26"/>
      <c r="T8" s="26"/>
      <c r="U8" s="26"/>
      <c r="V8" s="26"/>
      <c r="W8" s="26"/>
      <c r="X8" s="26"/>
      <c r="Y8" s="26"/>
      <c r="Z8" s="26"/>
      <c r="AA8" s="26"/>
      <c r="AB8" s="26"/>
      <c r="AC8" s="26"/>
      <c r="AD8" s="26"/>
    </row>
    <row r="9" spans="1:30" ht="26.25">
      <c r="A9" s="28" t="s">
        <v>24</v>
      </c>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row>
    <row r="10" spans="1:30">
      <c r="A10" s="26" t="s">
        <v>25</v>
      </c>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row>
    <row r="11" spans="1:30">
      <c r="A11" s="26"/>
      <c r="B11" s="161" t="s">
        <v>26</v>
      </c>
      <c r="C11" s="161"/>
      <c r="D11" s="26" t="s">
        <v>27</v>
      </c>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row>
    <row r="12" spans="1:30">
      <c r="A12" s="26"/>
      <c r="B12" s="162" t="s">
        <v>28</v>
      </c>
      <c r="C12" s="162"/>
      <c r="D12" s="26" t="s">
        <v>29</v>
      </c>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row>
    <row r="13" spans="1:30">
      <c r="A13" s="26"/>
      <c r="B13" s="163" t="s">
        <v>30</v>
      </c>
      <c r="C13" s="163"/>
      <c r="D13" s="26" t="s">
        <v>31</v>
      </c>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row>
    <row r="14" spans="1:30">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row>
    <row r="15" spans="1:30" ht="26.25">
      <c r="A15" s="28" t="s">
        <v>32</v>
      </c>
      <c r="B15" s="29"/>
      <c r="C15" s="29"/>
      <c r="D15" s="29"/>
      <c r="E15" s="29"/>
      <c r="F15" s="29"/>
      <c r="G15" s="29"/>
      <c r="H15" s="29"/>
      <c r="I15" s="29"/>
      <c r="J15" s="29"/>
      <c r="K15" s="26"/>
      <c r="L15" s="26"/>
      <c r="M15" s="26"/>
      <c r="N15" s="26"/>
      <c r="O15" s="26"/>
      <c r="P15" s="26"/>
      <c r="Q15" s="26"/>
      <c r="R15" s="26"/>
      <c r="S15" s="26"/>
      <c r="T15" s="26"/>
      <c r="U15" s="26"/>
      <c r="V15" s="26"/>
      <c r="W15" s="26"/>
      <c r="X15" s="26"/>
      <c r="Y15" s="26"/>
      <c r="Z15" s="26"/>
      <c r="AA15" s="26"/>
      <c r="AB15" s="26"/>
      <c r="AC15" s="26"/>
      <c r="AD15" s="26"/>
    </row>
    <row r="16" spans="1:30">
      <c r="A16" s="160" t="s">
        <v>33</v>
      </c>
      <c r="B16" s="160"/>
      <c r="C16" s="160"/>
      <c r="D16" s="160"/>
      <c r="E16" s="160"/>
      <c r="F16" s="160"/>
      <c r="G16" s="160"/>
      <c r="H16" s="160"/>
      <c r="I16" s="160"/>
      <c r="J16" s="160"/>
      <c r="K16" s="160"/>
      <c r="L16" s="160"/>
      <c r="M16" s="160"/>
      <c r="N16" s="160"/>
      <c r="O16" s="160"/>
      <c r="P16" s="160"/>
      <c r="Q16" s="26"/>
      <c r="R16" s="26"/>
      <c r="S16" s="26"/>
      <c r="T16" s="26"/>
      <c r="U16" s="26"/>
      <c r="V16" s="26"/>
      <c r="W16" s="26"/>
      <c r="X16" s="26"/>
      <c r="Y16" s="26"/>
      <c r="Z16" s="26"/>
      <c r="AA16" s="26"/>
      <c r="AB16" s="26"/>
      <c r="AC16" s="26"/>
      <c r="AD16" s="26"/>
    </row>
    <row r="17" spans="1:30">
      <c r="A17" s="30"/>
      <c r="B17" s="30"/>
      <c r="C17" s="30"/>
      <c r="D17" s="30"/>
      <c r="E17" s="31"/>
      <c r="F17" s="31"/>
      <c r="G17" s="31"/>
      <c r="H17" s="31"/>
      <c r="I17" s="31"/>
      <c r="J17" s="31"/>
      <c r="K17" s="31"/>
      <c r="L17" s="31"/>
      <c r="M17" s="31"/>
      <c r="N17" s="31"/>
      <c r="O17" s="31"/>
      <c r="P17" s="31"/>
      <c r="Q17" s="26"/>
      <c r="R17" s="26"/>
      <c r="S17" s="26"/>
      <c r="T17" s="26"/>
      <c r="U17" s="26"/>
      <c r="V17" s="26"/>
      <c r="W17" s="26"/>
      <c r="X17" s="26"/>
      <c r="Y17" s="26"/>
      <c r="Z17" s="26"/>
      <c r="AA17" s="26"/>
      <c r="AB17" s="26"/>
      <c r="AC17" s="26"/>
      <c r="AD17" s="26"/>
    </row>
    <row r="18" spans="1:30" ht="26.25">
      <c r="A18" s="28" t="s">
        <v>34</v>
      </c>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row>
    <row r="19" spans="1:30" ht="18.75">
      <c r="A19" s="153" t="s">
        <v>35</v>
      </c>
      <c r="B19" s="153"/>
      <c r="C19" s="153"/>
      <c r="D19" s="153"/>
      <c r="E19" s="153"/>
      <c r="F19" s="153"/>
      <c r="G19" s="153"/>
      <c r="H19" s="153"/>
      <c r="I19" s="153"/>
      <c r="J19" s="26"/>
      <c r="K19" s="26"/>
      <c r="L19" s="26"/>
      <c r="M19" s="26"/>
      <c r="N19" s="26"/>
      <c r="O19" s="26"/>
      <c r="P19" s="26"/>
      <c r="Q19" s="26"/>
      <c r="R19" s="26"/>
      <c r="S19" s="26"/>
      <c r="T19" s="26"/>
      <c r="U19" s="26"/>
      <c r="V19" s="26"/>
      <c r="W19" s="26"/>
      <c r="X19" s="26"/>
      <c r="Y19" s="26"/>
      <c r="Z19" s="26"/>
      <c r="AA19" s="26"/>
      <c r="AB19" s="26"/>
      <c r="AC19" s="26"/>
      <c r="AD19" s="26"/>
    </row>
    <row r="20" spans="1:30">
      <c r="A20" s="26"/>
      <c r="B20" s="32" t="s">
        <v>36</v>
      </c>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row>
    <row r="21" spans="1:30">
      <c r="A21" s="26"/>
      <c r="B21" s="33" t="s">
        <v>37</v>
      </c>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row>
    <row r="22" spans="1:30">
      <c r="A22" s="26"/>
      <c r="B22" s="33" t="s">
        <v>38</v>
      </c>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row>
    <row r="23" spans="1:30">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row>
    <row r="24" spans="1:30" ht="26.25">
      <c r="A24" s="28" t="s">
        <v>39</v>
      </c>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row>
    <row r="25" spans="1:30">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row>
    <row r="26" spans="1:30">
      <c r="A26" s="34" t="s">
        <v>5</v>
      </c>
      <c r="B26" s="34" t="s">
        <v>6</v>
      </c>
      <c r="C26" s="154" t="s">
        <v>40</v>
      </c>
      <c r="D26" s="154"/>
      <c r="E26" s="155" t="s">
        <v>41</v>
      </c>
      <c r="F26" s="155"/>
      <c r="G26" s="155"/>
      <c r="H26" s="155"/>
      <c r="I26" s="155"/>
      <c r="J26" s="155"/>
      <c r="K26" s="155"/>
      <c r="L26" s="155"/>
      <c r="M26" s="155"/>
      <c r="N26" s="155"/>
      <c r="O26" s="155"/>
      <c r="P26" s="155"/>
      <c r="Q26" s="26"/>
      <c r="R26" s="26"/>
      <c r="S26" s="26"/>
      <c r="T26" s="26"/>
      <c r="U26" s="26"/>
      <c r="V26" s="26"/>
      <c r="W26" s="26"/>
      <c r="X26" s="26"/>
      <c r="Y26" s="26"/>
      <c r="Z26" s="26"/>
      <c r="AA26" s="26"/>
      <c r="AB26" s="26"/>
      <c r="AC26" s="26"/>
      <c r="AD26" s="26"/>
    </row>
    <row r="27" spans="1:30">
      <c r="A27" s="34">
        <v>1</v>
      </c>
      <c r="B27" s="35">
        <v>43497</v>
      </c>
      <c r="C27" s="154" t="s">
        <v>42</v>
      </c>
      <c r="D27" s="154"/>
      <c r="E27" s="155" t="s">
        <v>43</v>
      </c>
      <c r="F27" s="155"/>
      <c r="G27" s="155"/>
      <c r="H27" s="155"/>
      <c r="I27" s="155"/>
      <c r="J27" s="155"/>
      <c r="K27" s="155"/>
      <c r="L27" s="155"/>
      <c r="M27" s="155"/>
      <c r="N27" s="155"/>
      <c r="O27" s="155"/>
      <c r="P27" s="155"/>
      <c r="Q27" s="26"/>
      <c r="R27" s="26"/>
      <c r="S27" s="26"/>
      <c r="T27" s="26"/>
      <c r="U27" s="26"/>
      <c r="V27" s="26"/>
      <c r="W27" s="26"/>
      <c r="X27" s="26"/>
      <c r="Y27" s="26"/>
      <c r="Z27" s="26"/>
      <c r="AA27" s="26"/>
      <c r="AB27" s="26"/>
      <c r="AC27" s="26"/>
      <c r="AD27" s="26"/>
    </row>
    <row r="28" spans="1:30">
      <c r="A28" s="34">
        <v>2</v>
      </c>
      <c r="B28" s="35"/>
      <c r="C28" s="154"/>
      <c r="D28" s="154"/>
      <c r="E28" s="155"/>
      <c r="F28" s="155"/>
      <c r="G28" s="155"/>
      <c r="H28" s="155"/>
      <c r="I28" s="155"/>
      <c r="J28" s="155"/>
      <c r="K28" s="155"/>
      <c r="L28" s="155"/>
      <c r="M28" s="155"/>
      <c r="N28" s="155"/>
      <c r="O28" s="155"/>
      <c r="P28" s="155"/>
      <c r="Q28" s="26"/>
      <c r="R28" s="26"/>
      <c r="S28" s="26"/>
      <c r="T28" s="26"/>
      <c r="U28" s="26"/>
      <c r="V28" s="26"/>
      <c r="W28" s="26"/>
      <c r="X28" s="26"/>
      <c r="Y28" s="26"/>
      <c r="Z28" s="26"/>
      <c r="AA28" s="26"/>
      <c r="AB28" s="26"/>
      <c r="AC28" s="26"/>
      <c r="AD28" s="26"/>
    </row>
    <row r="29" spans="1:30">
      <c r="A29" s="34">
        <v>3</v>
      </c>
      <c r="B29" s="35"/>
      <c r="C29" s="164"/>
      <c r="D29" s="165"/>
      <c r="E29" s="166"/>
      <c r="F29" s="167"/>
      <c r="G29" s="167"/>
      <c r="H29" s="167"/>
      <c r="I29" s="167"/>
      <c r="J29" s="167"/>
      <c r="K29" s="167"/>
      <c r="L29" s="167"/>
      <c r="M29" s="167"/>
      <c r="N29" s="167"/>
      <c r="O29" s="167"/>
      <c r="P29" s="168"/>
      <c r="Q29" s="26"/>
      <c r="R29" s="26"/>
      <c r="S29" s="26"/>
      <c r="T29" s="26"/>
      <c r="U29" s="26"/>
      <c r="V29" s="26"/>
      <c r="W29" s="26"/>
      <c r="X29" s="26"/>
      <c r="Y29" s="26"/>
      <c r="Z29" s="26"/>
      <c r="AA29" s="26"/>
      <c r="AB29" s="26"/>
      <c r="AC29" s="26"/>
      <c r="AD29" s="26"/>
    </row>
    <row r="30" spans="1:30">
      <c r="A30" s="34">
        <v>4</v>
      </c>
      <c r="B30" s="34"/>
      <c r="C30" s="154"/>
      <c r="D30" s="154"/>
      <c r="E30" s="155"/>
      <c r="F30" s="155"/>
      <c r="G30" s="155"/>
      <c r="H30" s="155"/>
      <c r="I30" s="155"/>
      <c r="J30" s="155"/>
      <c r="K30" s="155"/>
      <c r="L30" s="155"/>
      <c r="M30" s="155"/>
      <c r="N30" s="155"/>
      <c r="O30" s="155"/>
      <c r="P30" s="155"/>
      <c r="Q30" s="26"/>
      <c r="R30" s="26"/>
      <c r="S30" s="26"/>
      <c r="T30" s="26"/>
      <c r="U30" s="26"/>
      <c r="V30" s="26"/>
      <c r="W30" s="26"/>
      <c r="X30" s="26"/>
      <c r="Y30" s="26"/>
      <c r="Z30" s="26"/>
      <c r="AA30" s="26"/>
      <c r="AB30" s="26"/>
      <c r="AC30" s="26"/>
      <c r="AD30" s="26"/>
    </row>
    <row r="31" spans="1:30">
      <c r="A31" s="34">
        <v>5</v>
      </c>
      <c r="B31" s="34"/>
      <c r="C31" s="154"/>
      <c r="D31" s="154"/>
      <c r="E31" s="155"/>
      <c r="F31" s="155"/>
      <c r="G31" s="155"/>
      <c r="H31" s="155"/>
      <c r="I31" s="155"/>
      <c r="J31" s="155"/>
      <c r="K31" s="155"/>
      <c r="L31" s="155"/>
      <c r="M31" s="155"/>
      <c r="N31" s="155"/>
      <c r="O31" s="155"/>
      <c r="P31" s="155"/>
      <c r="Q31" s="26"/>
      <c r="R31" s="26"/>
      <c r="S31" s="26"/>
      <c r="T31" s="26"/>
      <c r="U31" s="26"/>
      <c r="V31" s="26"/>
      <c r="W31" s="26"/>
      <c r="X31" s="26"/>
      <c r="Y31" s="26"/>
      <c r="Z31" s="26"/>
      <c r="AA31" s="26"/>
      <c r="AB31" s="26"/>
      <c r="AC31" s="26"/>
      <c r="AD31" s="26"/>
    </row>
    <row r="32" spans="1:30">
      <c r="A32" s="34">
        <v>6</v>
      </c>
      <c r="B32" s="34"/>
      <c r="C32" s="154"/>
      <c r="D32" s="154"/>
      <c r="E32" s="155"/>
      <c r="F32" s="155"/>
      <c r="G32" s="155"/>
      <c r="H32" s="155"/>
      <c r="I32" s="155"/>
      <c r="J32" s="155"/>
      <c r="K32" s="155"/>
      <c r="L32" s="155"/>
      <c r="M32" s="155"/>
      <c r="N32" s="155"/>
      <c r="O32" s="155"/>
      <c r="P32" s="155"/>
      <c r="Q32" s="26"/>
      <c r="R32" s="26"/>
      <c r="S32" s="26"/>
      <c r="T32" s="26"/>
      <c r="U32" s="26"/>
      <c r="V32" s="26"/>
      <c r="W32" s="26"/>
      <c r="X32" s="26"/>
      <c r="Y32" s="26"/>
      <c r="Z32" s="26"/>
      <c r="AA32" s="26"/>
      <c r="AB32" s="26"/>
      <c r="AC32" s="26"/>
      <c r="AD32" s="26"/>
    </row>
    <row r="33" spans="1:30">
      <c r="A33" s="34">
        <v>7</v>
      </c>
      <c r="B33" s="34"/>
      <c r="C33" s="154"/>
      <c r="D33" s="154"/>
      <c r="E33" s="155"/>
      <c r="F33" s="155"/>
      <c r="G33" s="155"/>
      <c r="H33" s="155"/>
      <c r="I33" s="155"/>
      <c r="J33" s="155"/>
      <c r="K33" s="155"/>
      <c r="L33" s="155"/>
      <c r="M33" s="155"/>
      <c r="N33" s="155"/>
      <c r="O33" s="155"/>
      <c r="P33" s="155"/>
      <c r="Q33" s="26"/>
      <c r="R33" s="26"/>
      <c r="S33" s="26"/>
      <c r="T33" s="26"/>
      <c r="U33" s="26"/>
      <c r="V33" s="26"/>
      <c r="W33" s="26"/>
      <c r="X33" s="26"/>
      <c r="Y33" s="26"/>
      <c r="Z33" s="26"/>
      <c r="AA33" s="26"/>
      <c r="AB33" s="26"/>
      <c r="AC33" s="26"/>
      <c r="AD33" s="26"/>
    </row>
    <row r="34" spans="1:30">
      <c r="A34" s="34">
        <v>8</v>
      </c>
      <c r="B34" s="34"/>
      <c r="C34" s="154"/>
      <c r="D34" s="154"/>
      <c r="E34" s="155"/>
      <c r="F34" s="155"/>
      <c r="G34" s="155"/>
      <c r="H34" s="155"/>
      <c r="I34" s="155"/>
      <c r="J34" s="155"/>
      <c r="K34" s="155"/>
      <c r="L34" s="155"/>
      <c r="M34" s="155"/>
      <c r="N34" s="155"/>
      <c r="O34" s="155"/>
      <c r="P34" s="155"/>
      <c r="Q34" s="26"/>
      <c r="R34" s="26"/>
      <c r="S34" s="26"/>
      <c r="T34" s="26"/>
      <c r="U34" s="26"/>
      <c r="V34" s="26"/>
      <c r="W34" s="26"/>
      <c r="X34" s="26"/>
      <c r="Y34" s="26"/>
      <c r="Z34" s="26"/>
      <c r="AA34" s="26"/>
      <c r="AB34" s="26"/>
      <c r="AC34" s="26"/>
      <c r="AD34" s="26"/>
    </row>
    <row r="35" spans="1:30">
      <c r="A35" s="34">
        <v>9</v>
      </c>
      <c r="B35" s="34"/>
      <c r="C35" s="154"/>
      <c r="D35" s="154"/>
      <c r="E35" s="155"/>
      <c r="F35" s="155"/>
      <c r="G35" s="155"/>
      <c r="H35" s="155"/>
      <c r="I35" s="155"/>
      <c r="J35" s="155"/>
      <c r="K35" s="155"/>
      <c r="L35" s="155"/>
      <c r="M35" s="155"/>
      <c r="N35" s="155"/>
      <c r="O35" s="155"/>
      <c r="P35" s="155"/>
      <c r="Q35" s="26"/>
      <c r="R35" s="26"/>
      <c r="S35" s="26"/>
      <c r="T35" s="26"/>
      <c r="U35" s="26"/>
      <c r="V35" s="26"/>
      <c r="W35" s="26"/>
      <c r="X35" s="26"/>
      <c r="Y35" s="26"/>
      <c r="Z35" s="26"/>
      <c r="AA35" s="26"/>
      <c r="AB35" s="26"/>
      <c r="AC35" s="26"/>
      <c r="AD35" s="26"/>
    </row>
    <row r="36" spans="1:30">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row>
    <row r="37" spans="1:30">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row>
    <row r="38" spans="1:30">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row>
    <row r="39" spans="1:30">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row>
    <row r="40" spans="1:3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row>
    <row r="41" spans="1:30">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row>
    <row r="42" spans="1:30">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row>
    <row r="43" spans="1:30">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row>
    <row r="44" spans="1:30">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row>
    <row r="45" spans="1:30">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row>
    <row r="46" spans="1:30">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row>
    <row r="47" spans="1:30">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row>
    <row r="48" spans="1:30">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row>
    <row r="49" spans="1:30">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row>
    <row r="50" spans="1:3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row>
    <row r="51" spans="1:30">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row>
    <row r="52" spans="1:30">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row>
    <row r="53" spans="1:30">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row>
    <row r="54" spans="1:30">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row>
    <row r="55" spans="1:30">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row>
    <row r="56" spans="1:30">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row>
    <row r="57" spans="1:30">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row>
    <row r="58" spans="1:30">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row>
    <row r="59" spans="1:30">
      <c r="T59" s="26"/>
      <c r="U59" s="26"/>
      <c r="V59" s="26"/>
      <c r="W59" s="26"/>
      <c r="X59" s="26"/>
      <c r="Y59" s="26"/>
      <c r="Z59" s="26"/>
      <c r="AA59" s="26"/>
      <c r="AB59" s="26"/>
      <c r="AC59" s="26"/>
      <c r="AD59" s="26"/>
    </row>
  </sheetData>
  <mergeCells count="29">
    <mergeCell ref="A2:J2"/>
    <mergeCell ref="A7:P7"/>
    <mergeCell ref="A8:J8"/>
    <mergeCell ref="A5:P5"/>
    <mergeCell ref="C34:D34"/>
    <mergeCell ref="E34:P34"/>
    <mergeCell ref="A16:P16"/>
    <mergeCell ref="B11:C11"/>
    <mergeCell ref="B12:C12"/>
    <mergeCell ref="B13:C13"/>
    <mergeCell ref="C27:D27"/>
    <mergeCell ref="E27:P27"/>
    <mergeCell ref="C28:D28"/>
    <mergeCell ref="E28:P28"/>
    <mergeCell ref="C29:D29"/>
    <mergeCell ref="E29:P29"/>
    <mergeCell ref="A19:I19"/>
    <mergeCell ref="C26:D26"/>
    <mergeCell ref="E26:P26"/>
    <mergeCell ref="C35:D35"/>
    <mergeCell ref="E35:P35"/>
    <mergeCell ref="C30:D30"/>
    <mergeCell ref="E30:P30"/>
    <mergeCell ref="C31:D31"/>
    <mergeCell ref="E31:P31"/>
    <mergeCell ref="C32:D32"/>
    <mergeCell ref="E32:P32"/>
    <mergeCell ref="C33:D33"/>
    <mergeCell ref="E33:P33"/>
  </mergeCells>
  <hyperlinks>
    <hyperlink ref="B20" r:id="rId1" xr:uid="{00000000-0004-0000-0100-000000000000}"/>
    <hyperlink ref="A7:P7" r:id="rId2" display="Pour en savoir plus sur la gestion des droits d'accès : " xr:uid="{00000000-0004-0000-0100-000001000000}"/>
    <hyperlink ref="B21" r:id="rId3" xr:uid="{00000000-0004-0000-0100-000002000000}"/>
    <hyperlink ref="B22" r:id="rId4" xr:uid="{00000000-0004-0000-0100-000003000000}"/>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tabColor theme="9" tint="-0.249977111117893"/>
  </sheetPr>
  <dimension ref="A1:E7"/>
  <sheetViews>
    <sheetView workbookViewId="0">
      <selection activeCell="C27" sqref="C27"/>
    </sheetView>
  </sheetViews>
  <sheetFormatPr baseColWidth="10" defaultColWidth="11.42578125" defaultRowHeight="15"/>
  <cols>
    <col min="2" max="2" width="38.85546875" customWidth="1"/>
    <col min="3" max="3" width="68.140625" customWidth="1"/>
    <col min="5" max="5" width="57.140625" customWidth="1"/>
  </cols>
  <sheetData>
    <row r="1" spans="1:5" ht="18.75">
      <c r="A1" s="4" t="s">
        <v>44</v>
      </c>
      <c r="B1" s="5"/>
      <c r="C1" s="5"/>
      <c r="D1" s="5"/>
      <c r="E1" s="5"/>
    </row>
    <row r="2" spans="1:5">
      <c r="B2" s="1"/>
    </row>
    <row r="3" spans="1:5" ht="30">
      <c r="B3" s="7" t="s">
        <v>45</v>
      </c>
      <c r="C3" s="12"/>
    </row>
    <row r="4" spans="1:5">
      <c r="B4" s="7" t="s">
        <v>46</v>
      </c>
      <c r="C4" s="12"/>
    </row>
    <row r="5" spans="1:5">
      <c r="A5" s="1"/>
      <c r="B5" s="7" t="s">
        <v>47</v>
      </c>
      <c r="C5" s="12"/>
    </row>
    <row r="6" spans="1:5">
      <c r="A6" s="1"/>
      <c r="B6" s="7" t="s">
        <v>48</v>
      </c>
      <c r="C6" s="12"/>
    </row>
    <row r="7" spans="1:5" ht="119.25" customHeight="1">
      <c r="A7" s="1"/>
      <c r="B7" s="7" t="s">
        <v>49</v>
      </c>
      <c r="C7" s="10"/>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249977111117893"/>
  </sheetPr>
  <dimension ref="A1:AZ82"/>
  <sheetViews>
    <sheetView zoomScaleNormal="100" workbookViewId="0">
      <pane xSplit="1" ySplit="4" topLeftCell="B5" activePane="bottomRight" state="frozen"/>
      <selection pane="topRight" activeCell="B1" sqref="B1"/>
      <selection pane="bottomLeft" activeCell="A5" sqref="A5"/>
      <selection pane="bottomRight" activeCell="B9" sqref="B9"/>
    </sheetView>
  </sheetViews>
  <sheetFormatPr baseColWidth="10" defaultColWidth="11.42578125" defaultRowHeight="15"/>
  <cols>
    <col min="1" max="1" width="44.28515625" customWidth="1"/>
    <col min="2" max="20" width="45.7109375" style="94" customWidth="1"/>
  </cols>
  <sheetData>
    <row r="1" spans="1:52" s="96" customFormat="1" ht="15.75">
      <c r="A1" s="4" t="s">
        <v>189</v>
      </c>
      <c r="B1" s="23"/>
      <c r="C1" s="8"/>
      <c r="D1" s="8"/>
      <c r="E1" s="8"/>
      <c r="F1" s="8"/>
      <c r="G1" s="8"/>
      <c r="H1" s="8"/>
      <c r="I1" s="8"/>
      <c r="J1" s="8"/>
      <c r="K1" s="8"/>
      <c r="L1" s="8"/>
      <c r="M1" s="8"/>
      <c r="N1" s="8"/>
      <c r="O1" s="8"/>
      <c r="P1" s="8"/>
      <c r="Q1" s="8"/>
      <c r="R1" s="8"/>
      <c r="S1" s="8"/>
      <c r="T1" s="8"/>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row>
    <row r="3" spans="1:52">
      <c r="A3" s="97"/>
      <c r="B3" s="9" t="s">
        <v>50</v>
      </c>
      <c r="C3" s="9" t="s">
        <v>51</v>
      </c>
      <c r="D3" s="9" t="s">
        <v>52</v>
      </c>
      <c r="E3" s="9" t="s">
        <v>53</v>
      </c>
      <c r="F3" s="9" t="s">
        <v>54</v>
      </c>
      <c r="G3" s="9" t="s">
        <v>55</v>
      </c>
      <c r="H3" s="9" t="s">
        <v>56</v>
      </c>
      <c r="I3" s="9" t="s">
        <v>57</v>
      </c>
      <c r="J3" s="9" t="s">
        <v>58</v>
      </c>
      <c r="K3" s="9" t="s">
        <v>59</v>
      </c>
      <c r="L3" s="9" t="s">
        <v>190</v>
      </c>
      <c r="M3" s="9" t="s">
        <v>191</v>
      </c>
      <c r="N3" s="9" t="s">
        <v>192</v>
      </c>
      <c r="O3" s="9" t="s">
        <v>193</v>
      </c>
      <c r="P3" s="9" t="s">
        <v>194</v>
      </c>
      <c r="Q3" s="9" t="s">
        <v>195</v>
      </c>
      <c r="R3" s="9" t="s">
        <v>196</v>
      </c>
      <c r="S3" s="9" t="s">
        <v>197</v>
      </c>
      <c r="T3" s="9" t="s">
        <v>198</v>
      </c>
    </row>
    <row r="4" spans="1:52">
      <c r="A4" s="98" t="s">
        <v>60</v>
      </c>
      <c r="B4" s="99"/>
      <c r="C4" s="99"/>
      <c r="D4" s="99"/>
      <c r="E4" s="99"/>
      <c r="F4" s="99"/>
      <c r="G4" s="99"/>
      <c r="H4" s="99"/>
      <c r="I4" s="99"/>
      <c r="J4" s="99"/>
      <c r="K4" s="99"/>
      <c r="L4" s="99"/>
      <c r="M4" s="99"/>
      <c r="N4" s="99"/>
      <c r="O4" s="99"/>
      <c r="P4" s="99"/>
      <c r="Q4" s="99"/>
      <c r="R4" s="99"/>
      <c r="S4" s="99"/>
      <c r="T4" s="99"/>
    </row>
    <row r="5" spans="1:52">
      <c r="A5" s="98" t="s">
        <v>61</v>
      </c>
      <c r="B5" s="10"/>
      <c r="C5" s="10"/>
      <c r="D5" s="10"/>
      <c r="E5" s="10"/>
      <c r="F5" s="10"/>
      <c r="G5" s="10"/>
      <c r="H5" s="10"/>
      <c r="I5" s="10"/>
      <c r="J5" s="10"/>
      <c r="K5" s="10"/>
      <c r="L5" s="10"/>
      <c r="M5" s="10"/>
      <c r="N5" s="10"/>
      <c r="O5" s="10"/>
      <c r="P5" s="10"/>
      <c r="Q5" s="10"/>
      <c r="R5" s="10"/>
      <c r="S5" s="10"/>
      <c r="T5" s="10"/>
    </row>
    <row r="6" spans="1:52">
      <c r="A6" s="98" t="s">
        <v>62</v>
      </c>
      <c r="B6" s="10"/>
      <c r="C6" s="10"/>
      <c r="D6" s="10"/>
      <c r="E6" s="10"/>
      <c r="F6" s="10"/>
      <c r="G6" s="10"/>
      <c r="H6" s="10"/>
      <c r="I6" s="10"/>
      <c r="J6" s="10"/>
      <c r="K6" s="10"/>
      <c r="L6" s="10"/>
      <c r="M6" s="10"/>
      <c r="N6" s="10"/>
      <c r="O6" s="10"/>
      <c r="P6" s="10"/>
      <c r="Q6" s="10"/>
      <c r="R6" s="10"/>
      <c r="S6" s="10"/>
      <c r="T6" s="10"/>
    </row>
    <row r="7" spans="1:52">
      <c r="A7" s="98" t="s">
        <v>63</v>
      </c>
      <c r="B7" s="100"/>
      <c r="C7" s="100"/>
      <c r="D7" s="100"/>
      <c r="E7" s="100"/>
      <c r="F7" s="100"/>
      <c r="G7" s="100"/>
      <c r="H7" s="100"/>
      <c r="I7" s="100"/>
      <c r="J7" s="100"/>
      <c r="K7" s="100"/>
      <c r="L7" s="100"/>
      <c r="M7" s="100"/>
      <c r="N7" s="100"/>
      <c r="O7" s="100"/>
      <c r="P7" s="100"/>
      <c r="Q7" s="100"/>
      <c r="R7" s="100"/>
      <c r="S7" s="100"/>
      <c r="T7" s="100"/>
    </row>
    <row r="8" spans="1:52">
      <c r="A8" s="101" t="s">
        <v>64</v>
      </c>
      <c r="B8" s="10"/>
      <c r="C8" s="10"/>
      <c r="D8" s="10"/>
      <c r="E8" s="10"/>
      <c r="F8" s="10"/>
      <c r="G8" s="10"/>
      <c r="H8" s="10"/>
      <c r="I8" s="10"/>
      <c r="J8" s="10"/>
      <c r="K8" s="10"/>
      <c r="L8" s="10"/>
      <c r="M8" s="10"/>
      <c r="N8" s="10"/>
      <c r="O8" s="10"/>
      <c r="P8" s="10"/>
      <c r="Q8" s="10"/>
      <c r="R8" s="10"/>
      <c r="S8" s="10"/>
      <c r="T8" s="10"/>
    </row>
    <row r="9" spans="1:52">
      <c r="A9" s="101" t="s">
        <v>65</v>
      </c>
      <c r="B9" s="10"/>
      <c r="C9" s="10"/>
      <c r="D9" s="10"/>
      <c r="E9" s="10"/>
      <c r="F9" s="10"/>
      <c r="G9" s="10"/>
      <c r="H9" s="10"/>
      <c r="I9" s="10"/>
      <c r="J9" s="10"/>
      <c r="K9" s="10"/>
      <c r="L9" s="10"/>
      <c r="M9" s="10"/>
      <c r="N9" s="10"/>
      <c r="O9" s="10"/>
      <c r="P9" s="10"/>
      <c r="Q9" s="10"/>
      <c r="R9" s="10"/>
      <c r="S9" s="10"/>
      <c r="T9" s="10"/>
    </row>
    <row r="10" spans="1:52">
      <c r="A10" s="101" t="s">
        <v>66</v>
      </c>
      <c r="B10" s="10"/>
      <c r="C10" s="10"/>
      <c r="D10" s="10"/>
      <c r="E10" s="10"/>
      <c r="F10" s="10"/>
      <c r="G10" s="10"/>
      <c r="H10" s="10"/>
      <c r="I10" s="10"/>
      <c r="J10" s="10"/>
      <c r="K10" s="10"/>
      <c r="L10" s="10"/>
      <c r="M10" s="10"/>
      <c r="N10" s="10"/>
      <c r="O10" s="10"/>
      <c r="P10" s="10"/>
      <c r="Q10" s="10"/>
      <c r="R10" s="10"/>
      <c r="S10" s="10"/>
      <c r="T10" s="10"/>
    </row>
    <row r="11" spans="1:52">
      <c r="A11" s="101" t="s">
        <v>67</v>
      </c>
      <c r="B11" s="10"/>
      <c r="C11" s="10"/>
      <c r="D11" s="10"/>
      <c r="E11" s="10"/>
      <c r="F11" s="10"/>
      <c r="G11" s="10"/>
      <c r="H11" s="10"/>
      <c r="I11" s="10"/>
      <c r="J11" s="10"/>
      <c r="K11" s="10"/>
      <c r="L11" s="10"/>
      <c r="M11" s="10"/>
      <c r="N11" s="10"/>
      <c r="O11" s="10"/>
      <c r="P11" s="10"/>
      <c r="Q11" s="10"/>
      <c r="R11" s="10"/>
      <c r="S11" s="10"/>
      <c r="T11" s="10"/>
    </row>
    <row r="12" spans="1:52">
      <c r="A12" s="101" t="s">
        <v>68</v>
      </c>
      <c r="B12" s="11">
        <f>MAX(B10:B11)</f>
        <v>0</v>
      </c>
      <c r="C12" s="11">
        <f t="shared" ref="C12:T12" si="0">MAX(C10:C11)</f>
        <v>0</v>
      </c>
      <c r="D12" s="11">
        <f t="shared" si="0"/>
        <v>0</v>
      </c>
      <c r="E12" s="11">
        <f t="shared" si="0"/>
        <v>0</v>
      </c>
      <c r="F12" s="11">
        <f t="shared" si="0"/>
        <v>0</v>
      </c>
      <c r="G12" s="11">
        <f t="shared" si="0"/>
        <v>0</v>
      </c>
      <c r="H12" s="11">
        <f t="shared" si="0"/>
        <v>0</v>
      </c>
      <c r="I12" s="11">
        <f t="shared" si="0"/>
        <v>0</v>
      </c>
      <c r="J12" s="11">
        <f t="shared" si="0"/>
        <v>0</v>
      </c>
      <c r="K12" s="11">
        <f t="shared" si="0"/>
        <v>0</v>
      </c>
      <c r="L12" s="11">
        <f t="shared" si="0"/>
        <v>0</v>
      </c>
      <c r="M12" s="11">
        <f t="shared" si="0"/>
        <v>0</v>
      </c>
      <c r="N12" s="11">
        <f t="shared" si="0"/>
        <v>0</v>
      </c>
      <c r="O12" s="11">
        <f t="shared" si="0"/>
        <v>0</v>
      </c>
      <c r="P12" s="11">
        <f t="shared" si="0"/>
        <v>0</v>
      </c>
      <c r="Q12" s="11">
        <f t="shared" si="0"/>
        <v>0</v>
      </c>
      <c r="R12" s="11">
        <f t="shared" si="0"/>
        <v>0</v>
      </c>
      <c r="S12" s="11">
        <f t="shared" si="0"/>
        <v>0</v>
      </c>
      <c r="T12" s="11">
        <f t="shared" si="0"/>
        <v>0</v>
      </c>
    </row>
    <row r="13" spans="1:52">
      <c r="A13" s="101" t="s">
        <v>69</v>
      </c>
      <c r="B13" s="10"/>
      <c r="C13" s="10"/>
      <c r="D13" s="10"/>
      <c r="E13" s="10"/>
      <c r="F13" s="10"/>
      <c r="G13" s="10"/>
      <c r="H13" s="10"/>
      <c r="I13" s="10"/>
      <c r="J13" s="10"/>
      <c r="K13" s="10"/>
      <c r="L13" s="10"/>
      <c r="M13" s="10"/>
      <c r="N13" s="10"/>
      <c r="O13" s="10"/>
      <c r="P13" s="10"/>
      <c r="Q13" s="10"/>
      <c r="R13" s="10"/>
      <c r="S13" s="10"/>
      <c r="T13" s="10"/>
    </row>
    <row r="14" spans="1:52">
      <c r="A14" s="101" t="s">
        <v>70</v>
      </c>
      <c r="B14" s="10"/>
      <c r="C14" s="10"/>
      <c r="D14" s="10"/>
      <c r="E14" s="10"/>
      <c r="F14" s="10"/>
      <c r="G14" s="10"/>
      <c r="H14" s="10"/>
      <c r="I14" s="10"/>
      <c r="J14" s="10"/>
      <c r="K14" s="10"/>
      <c r="L14" s="10"/>
      <c r="M14" s="10"/>
      <c r="N14" s="10"/>
      <c r="O14" s="10"/>
      <c r="P14" s="10"/>
      <c r="Q14" s="10"/>
      <c r="R14" s="10"/>
      <c r="S14" s="10"/>
      <c r="T14" s="10"/>
    </row>
    <row r="15" spans="1:52">
      <c r="A15" s="102" t="s">
        <v>199</v>
      </c>
      <c r="B15" s="103"/>
      <c r="C15" s="103"/>
      <c r="D15" s="103"/>
      <c r="E15" s="103"/>
      <c r="F15" s="103"/>
      <c r="G15" s="103"/>
      <c r="H15" s="103"/>
      <c r="I15" s="103"/>
      <c r="J15" s="103"/>
      <c r="K15" s="103"/>
      <c r="L15" s="103"/>
      <c r="M15" s="103"/>
      <c r="N15" s="103"/>
      <c r="O15" s="103"/>
      <c r="P15" s="103"/>
      <c r="Q15" s="103"/>
      <c r="R15" s="103"/>
      <c r="S15" s="103"/>
      <c r="T15" s="103"/>
    </row>
    <row r="16" spans="1:52">
      <c r="A16" s="104" t="s">
        <v>200</v>
      </c>
      <c r="B16" s="105"/>
      <c r="C16" s="105"/>
      <c r="D16" s="105"/>
      <c r="E16" s="105"/>
      <c r="F16" s="105"/>
      <c r="G16" s="105"/>
      <c r="H16" s="105"/>
      <c r="I16" s="105"/>
      <c r="J16" s="105"/>
      <c r="K16" s="105"/>
      <c r="L16" s="105"/>
      <c r="M16" s="105"/>
      <c r="N16" s="105"/>
      <c r="O16" s="105"/>
      <c r="P16" s="105"/>
      <c r="Q16" s="105"/>
      <c r="R16" s="105"/>
      <c r="S16" s="105"/>
      <c r="T16" s="24"/>
    </row>
    <row r="17" spans="1:20">
      <c r="A17" s="106" t="s">
        <v>201</v>
      </c>
      <c r="B17" s="107"/>
      <c r="C17" s="107"/>
      <c r="D17" s="107"/>
      <c r="E17" s="107"/>
      <c r="F17" s="107"/>
      <c r="G17" s="107"/>
      <c r="H17" s="107"/>
      <c r="I17" s="107"/>
      <c r="J17" s="107"/>
      <c r="K17" s="107"/>
      <c r="L17" s="107"/>
      <c r="M17" s="107"/>
      <c r="N17" s="107"/>
      <c r="O17" s="107"/>
      <c r="P17" s="107"/>
      <c r="Q17" s="107"/>
      <c r="R17" s="107"/>
      <c r="S17" s="107"/>
      <c r="T17" s="107"/>
    </row>
    <row r="18" spans="1:20">
      <c r="A18" s="106" t="s">
        <v>202</v>
      </c>
      <c r="B18" s="107"/>
      <c r="C18" s="107"/>
      <c r="D18" s="107"/>
      <c r="E18" s="107"/>
      <c r="F18" s="107"/>
      <c r="G18" s="107"/>
      <c r="H18" s="107"/>
      <c r="I18" s="107"/>
      <c r="J18" s="107"/>
      <c r="K18" s="107"/>
      <c r="L18" s="107"/>
      <c r="M18" s="107"/>
      <c r="N18" s="107"/>
      <c r="O18" s="107"/>
      <c r="P18" s="107"/>
      <c r="Q18" s="107"/>
      <c r="R18" s="107"/>
      <c r="S18" s="107"/>
      <c r="T18" s="107"/>
    </row>
    <row r="19" spans="1:20">
      <c r="A19" s="106" t="s">
        <v>203</v>
      </c>
      <c r="B19" s="107"/>
      <c r="C19" s="107"/>
      <c r="D19" s="107"/>
      <c r="E19" s="107"/>
      <c r="F19" s="107"/>
      <c r="G19" s="107"/>
      <c r="H19" s="107"/>
      <c r="I19" s="107"/>
      <c r="J19" s="107"/>
      <c r="K19" s="107"/>
      <c r="L19" s="107"/>
      <c r="M19" s="107"/>
      <c r="N19" s="107"/>
      <c r="O19" s="107"/>
      <c r="P19" s="107"/>
      <c r="Q19" s="107"/>
      <c r="R19" s="107"/>
      <c r="S19" s="107"/>
      <c r="T19" s="107"/>
    </row>
    <row r="20" spans="1:20">
      <c r="A20" s="3"/>
      <c r="B20" s="107"/>
      <c r="C20" s="107"/>
      <c r="D20" s="107"/>
      <c r="E20" s="107"/>
      <c r="F20" s="107"/>
      <c r="G20" s="107"/>
      <c r="H20" s="107"/>
      <c r="I20" s="107"/>
      <c r="J20" s="107"/>
      <c r="K20" s="107"/>
      <c r="L20" s="107"/>
      <c r="M20" s="107"/>
      <c r="N20" s="107"/>
      <c r="O20" s="107"/>
      <c r="P20" s="107"/>
      <c r="Q20" s="107"/>
      <c r="R20" s="107"/>
      <c r="S20" s="107"/>
      <c r="T20" s="107"/>
    </row>
    <row r="21" spans="1:20">
      <c r="A21" s="3"/>
      <c r="B21" s="107"/>
      <c r="C21" s="107"/>
      <c r="D21" s="107"/>
      <c r="E21" s="107"/>
      <c r="F21" s="107"/>
      <c r="G21" s="107"/>
      <c r="H21" s="107"/>
      <c r="I21" s="107"/>
      <c r="J21" s="107"/>
      <c r="K21" s="107"/>
      <c r="L21" s="107"/>
      <c r="M21" s="107"/>
      <c r="N21" s="107"/>
      <c r="O21" s="107"/>
      <c r="P21" s="107"/>
      <c r="Q21" s="107"/>
      <c r="R21" s="107"/>
      <c r="S21" s="107"/>
      <c r="T21" s="107"/>
    </row>
    <row r="22" spans="1:20">
      <c r="A22" s="3"/>
      <c r="B22" s="107"/>
      <c r="C22" s="107"/>
      <c r="D22" s="107"/>
      <c r="E22" s="107"/>
      <c r="F22" s="107"/>
      <c r="G22" s="107"/>
      <c r="H22" s="107"/>
      <c r="I22" s="107"/>
      <c r="J22" s="107"/>
      <c r="K22" s="107"/>
      <c r="L22" s="107"/>
      <c r="M22" s="107"/>
      <c r="N22" s="107"/>
      <c r="O22" s="107"/>
      <c r="P22" s="107"/>
      <c r="Q22" s="107"/>
      <c r="R22" s="107"/>
      <c r="S22" s="107"/>
      <c r="T22" s="107"/>
    </row>
    <row r="23" spans="1:20">
      <c r="A23" s="3"/>
      <c r="B23" s="107"/>
      <c r="C23" s="107"/>
      <c r="D23" s="107"/>
      <c r="E23" s="107"/>
      <c r="F23" s="107"/>
      <c r="G23" s="107"/>
      <c r="H23" s="107"/>
      <c r="I23" s="107"/>
      <c r="J23" s="107"/>
      <c r="K23" s="107"/>
      <c r="L23" s="107"/>
      <c r="M23" s="107"/>
      <c r="N23" s="107"/>
      <c r="O23" s="107"/>
      <c r="P23" s="107"/>
      <c r="Q23" s="107"/>
      <c r="R23" s="107"/>
      <c r="S23" s="107"/>
      <c r="T23" s="107"/>
    </row>
    <row r="24" spans="1:20">
      <c r="A24" s="3"/>
      <c r="B24" s="107"/>
      <c r="C24" s="107"/>
      <c r="D24" s="107"/>
      <c r="E24" s="107"/>
      <c r="F24" s="107"/>
      <c r="G24" s="107"/>
      <c r="H24" s="107"/>
      <c r="I24" s="107"/>
      <c r="J24" s="107"/>
      <c r="K24" s="107"/>
      <c r="L24" s="107"/>
      <c r="M24" s="107"/>
      <c r="N24" s="107"/>
      <c r="O24" s="107"/>
      <c r="P24" s="107"/>
      <c r="Q24" s="107"/>
      <c r="R24" s="107"/>
      <c r="S24" s="107"/>
      <c r="T24" s="107"/>
    </row>
    <row r="25" spans="1:20">
      <c r="A25" s="3"/>
      <c r="B25" s="107"/>
      <c r="C25" s="107"/>
      <c r="D25" s="107"/>
      <c r="E25" s="107"/>
      <c r="F25" s="107"/>
      <c r="G25" s="107"/>
      <c r="H25" s="107"/>
      <c r="I25" s="107"/>
      <c r="J25" s="107"/>
      <c r="K25" s="107"/>
      <c r="L25" s="107"/>
      <c r="M25" s="107"/>
      <c r="N25" s="107"/>
      <c r="O25" s="107"/>
      <c r="P25" s="107"/>
      <c r="Q25" s="107"/>
      <c r="R25" s="107"/>
      <c r="S25" s="107"/>
      <c r="T25" s="107"/>
    </row>
    <row r="26" spans="1:20">
      <c r="A26" s="3"/>
      <c r="B26" s="107"/>
      <c r="C26" s="107"/>
      <c r="D26" s="107"/>
      <c r="E26" s="107"/>
      <c r="F26" s="107"/>
      <c r="G26" s="107"/>
      <c r="H26" s="107"/>
      <c r="I26" s="107"/>
      <c r="J26" s="107"/>
      <c r="K26" s="107"/>
      <c r="L26" s="107"/>
      <c r="M26" s="107"/>
      <c r="N26" s="107"/>
      <c r="O26" s="107"/>
      <c r="P26" s="107"/>
      <c r="Q26" s="107"/>
      <c r="R26" s="107"/>
      <c r="S26" s="107"/>
      <c r="T26" s="107"/>
    </row>
    <row r="27" spans="1:20">
      <c r="A27" s="3"/>
      <c r="B27" s="107"/>
      <c r="C27" s="107"/>
      <c r="D27" s="107"/>
      <c r="E27" s="107"/>
      <c r="F27" s="107"/>
      <c r="G27" s="107"/>
      <c r="H27" s="107"/>
      <c r="I27" s="107"/>
      <c r="J27" s="107"/>
      <c r="K27" s="107"/>
      <c r="L27" s="107"/>
      <c r="M27" s="107"/>
      <c r="N27" s="107"/>
      <c r="O27" s="107"/>
      <c r="P27" s="107"/>
      <c r="Q27" s="107"/>
      <c r="R27" s="107"/>
      <c r="S27" s="107"/>
      <c r="T27" s="107"/>
    </row>
    <row r="28" spans="1:20">
      <c r="A28" s="3"/>
      <c r="B28" s="107"/>
      <c r="C28" s="107"/>
      <c r="D28" s="107"/>
      <c r="E28" s="107"/>
      <c r="F28" s="107"/>
      <c r="G28" s="107"/>
      <c r="H28" s="107"/>
      <c r="I28" s="107"/>
      <c r="J28" s="107"/>
      <c r="K28" s="107"/>
      <c r="L28" s="107"/>
      <c r="M28" s="107"/>
      <c r="N28" s="107"/>
      <c r="O28" s="107"/>
      <c r="P28" s="107"/>
      <c r="Q28" s="107"/>
      <c r="R28" s="107"/>
      <c r="S28" s="107"/>
      <c r="T28" s="107"/>
    </row>
    <row r="29" spans="1:20">
      <c r="A29" s="3"/>
      <c r="B29" s="107"/>
      <c r="C29" s="107"/>
      <c r="D29" s="107"/>
      <c r="E29" s="107"/>
      <c r="F29" s="107"/>
      <c r="G29" s="107"/>
      <c r="H29" s="107"/>
      <c r="I29" s="107"/>
      <c r="J29" s="107"/>
      <c r="K29" s="107"/>
      <c r="L29" s="107"/>
      <c r="M29" s="107"/>
      <c r="N29" s="107"/>
      <c r="O29" s="107"/>
      <c r="P29" s="107"/>
      <c r="Q29" s="107"/>
      <c r="R29" s="107"/>
      <c r="S29" s="107"/>
      <c r="T29" s="107"/>
    </row>
    <row r="30" spans="1:20">
      <c r="A30" s="3"/>
      <c r="B30" s="107"/>
      <c r="C30" s="107"/>
      <c r="D30" s="107"/>
      <c r="E30" s="107"/>
      <c r="F30" s="107"/>
      <c r="G30" s="107"/>
      <c r="H30" s="107"/>
      <c r="I30" s="107"/>
      <c r="J30" s="107"/>
      <c r="K30" s="107"/>
      <c r="L30" s="107"/>
      <c r="M30" s="107"/>
      <c r="N30" s="107"/>
      <c r="O30" s="107"/>
      <c r="P30" s="107"/>
      <c r="Q30" s="107"/>
      <c r="R30" s="107"/>
      <c r="S30" s="107"/>
      <c r="T30" s="107"/>
    </row>
    <row r="31" spans="1:20">
      <c r="A31" s="3"/>
      <c r="B31" s="107"/>
      <c r="C31" s="107"/>
      <c r="D31" s="107"/>
      <c r="E31" s="107"/>
      <c r="F31" s="107"/>
      <c r="G31" s="107"/>
      <c r="H31" s="107"/>
      <c r="I31" s="107"/>
      <c r="J31" s="107"/>
      <c r="K31" s="107"/>
      <c r="L31" s="107"/>
      <c r="M31" s="107"/>
      <c r="N31" s="107"/>
      <c r="O31" s="107"/>
      <c r="P31" s="107"/>
      <c r="Q31" s="107"/>
      <c r="R31" s="107"/>
      <c r="S31" s="107"/>
      <c r="T31" s="107"/>
    </row>
    <row r="32" spans="1:20">
      <c r="A32" s="3"/>
      <c r="B32" s="107"/>
      <c r="C32" s="107"/>
      <c r="D32" s="107"/>
      <c r="E32" s="107"/>
      <c r="F32" s="107"/>
      <c r="G32" s="107"/>
      <c r="H32" s="107"/>
      <c r="I32" s="107"/>
      <c r="J32" s="107"/>
      <c r="K32" s="107"/>
      <c r="L32" s="107"/>
      <c r="M32" s="107"/>
      <c r="N32" s="107"/>
      <c r="O32" s="107"/>
      <c r="P32" s="107"/>
      <c r="Q32" s="107"/>
      <c r="R32" s="107"/>
      <c r="S32" s="107"/>
      <c r="T32" s="107"/>
    </row>
    <row r="33" spans="1:20">
      <c r="A33" s="3"/>
      <c r="B33" s="107"/>
      <c r="C33" s="107"/>
      <c r="D33" s="107"/>
      <c r="E33" s="107"/>
      <c r="F33" s="107"/>
      <c r="G33" s="107"/>
      <c r="H33" s="107"/>
      <c r="I33" s="107"/>
      <c r="J33" s="107"/>
      <c r="K33" s="107"/>
      <c r="L33" s="107"/>
      <c r="M33" s="107"/>
      <c r="N33" s="107"/>
      <c r="O33" s="107"/>
      <c r="P33" s="107"/>
      <c r="Q33" s="107"/>
      <c r="R33" s="107"/>
      <c r="S33" s="107"/>
      <c r="T33" s="107"/>
    </row>
    <row r="34" spans="1:20">
      <c r="A34" s="3"/>
      <c r="B34" s="107"/>
      <c r="C34" s="107"/>
      <c r="D34" s="107"/>
      <c r="E34" s="107"/>
      <c r="F34" s="107"/>
      <c r="G34" s="107"/>
      <c r="H34" s="107"/>
      <c r="I34" s="107"/>
      <c r="J34" s="107"/>
      <c r="K34" s="107"/>
      <c r="L34" s="107"/>
      <c r="M34" s="107"/>
      <c r="N34" s="107"/>
      <c r="O34" s="107"/>
      <c r="P34" s="107"/>
      <c r="Q34" s="107"/>
      <c r="R34" s="107"/>
      <c r="S34" s="107"/>
      <c r="T34" s="107"/>
    </row>
    <row r="35" spans="1:20">
      <c r="A35" s="3"/>
      <c r="B35" s="107"/>
      <c r="C35" s="107"/>
      <c r="D35" s="107"/>
      <c r="E35" s="107"/>
      <c r="F35" s="107"/>
      <c r="G35" s="107"/>
      <c r="H35" s="107"/>
      <c r="I35" s="107"/>
      <c r="J35" s="107"/>
      <c r="K35" s="107"/>
      <c r="L35" s="107"/>
      <c r="M35" s="107"/>
      <c r="N35" s="107"/>
      <c r="O35" s="107"/>
      <c r="P35" s="107"/>
      <c r="Q35" s="107"/>
      <c r="R35" s="107"/>
      <c r="S35" s="107"/>
      <c r="T35" s="107"/>
    </row>
    <row r="36" spans="1:20">
      <c r="A36" s="3"/>
      <c r="B36" s="107"/>
      <c r="C36" s="107"/>
      <c r="D36" s="107"/>
      <c r="E36" s="107"/>
      <c r="F36" s="107"/>
      <c r="G36" s="107"/>
      <c r="H36" s="107"/>
      <c r="I36" s="107"/>
      <c r="J36" s="107"/>
      <c r="K36" s="107"/>
      <c r="L36" s="107"/>
      <c r="M36" s="107"/>
      <c r="N36" s="107"/>
      <c r="O36" s="107"/>
      <c r="P36" s="107"/>
      <c r="Q36" s="107"/>
      <c r="R36" s="107"/>
      <c r="S36" s="107"/>
      <c r="T36" s="107"/>
    </row>
    <row r="37" spans="1:20">
      <c r="A37" s="3"/>
      <c r="B37" s="107"/>
      <c r="C37" s="107"/>
      <c r="D37" s="107"/>
      <c r="E37" s="107"/>
      <c r="F37" s="107"/>
      <c r="G37" s="107"/>
      <c r="H37" s="107"/>
      <c r="I37" s="107"/>
      <c r="J37" s="107"/>
      <c r="K37" s="107"/>
      <c r="L37" s="107"/>
      <c r="M37" s="107"/>
      <c r="N37" s="107"/>
      <c r="O37" s="107"/>
      <c r="P37" s="107"/>
      <c r="Q37" s="107"/>
      <c r="R37" s="107"/>
      <c r="S37" s="107"/>
      <c r="T37" s="107"/>
    </row>
    <row r="38" spans="1:20">
      <c r="A38" s="3"/>
      <c r="B38" s="107"/>
      <c r="C38" s="107"/>
      <c r="D38" s="107"/>
      <c r="E38" s="107"/>
      <c r="F38" s="107"/>
      <c r="G38" s="107"/>
      <c r="H38" s="107"/>
      <c r="I38" s="107"/>
      <c r="J38" s="107"/>
      <c r="K38" s="107"/>
      <c r="L38" s="107"/>
      <c r="M38" s="107"/>
      <c r="N38" s="107"/>
      <c r="O38" s="107"/>
      <c r="P38" s="107"/>
      <c r="Q38" s="107"/>
      <c r="R38" s="107"/>
      <c r="S38" s="107"/>
      <c r="T38" s="107"/>
    </row>
    <row r="39" spans="1:20">
      <c r="A39" s="3"/>
      <c r="B39" s="107"/>
      <c r="C39" s="107"/>
      <c r="D39" s="107"/>
      <c r="E39" s="107"/>
      <c r="F39" s="107"/>
      <c r="G39" s="107"/>
      <c r="H39" s="107"/>
      <c r="I39" s="107"/>
      <c r="J39" s="107"/>
      <c r="K39" s="107"/>
      <c r="L39" s="107"/>
      <c r="M39" s="107"/>
      <c r="N39" s="107"/>
      <c r="O39" s="107"/>
      <c r="P39" s="107"/>
      <c r="Q39" s="107"/>
      <c r="R39" s="107"/>
      <c r="S39" s="107"/>
      <c r="T39" s="107"/>
    </row>
    <row r="40" spans="1:20">
      <c r="A40" s="3"/>
      <c r="B40" s="107"/>
      <c r="C40" s="107"/>
      <c r="D40" s="107"/>
      <c r="E40" s="107"/>
      <c r="F40" s="107"/>
      <c r="G40" s="107"/>
      <c r="H40" s="107"/>
      <c r="I40" s="107"/>
      <c r="J40" s="107"/>
      <c r="K40" s="107"/>
      <c r="L40" s="107"/>
      <c r="M40" s="107"/>
      <c r="N40" s="107"/>
      <c r="O40" s="107"/>
      <c r="P40" s="107"/>
      <c r="Q40" s="107"/>
      <c r="R40" s="107"/>
      <c r="S40" s="107"/>
      <c r="T40" s="107"/>
    </row>
    <row r="41" spans="1:20">
      <c r="A41" s="3"/>
      <c r="B41" s="107"/>
      <c r="C41" s="107"/>
      <c r="D41" s="107"/>
      <c r="E41" s="107"/>
      <c r="F41" s="107"/>
      <c r="G41" s="107"/>
      <c r="H41" s="107"/>
      <c r="I41" s="107"/>
      <c r="J41" s="107"/>
      <c r="K41" s="107"/>
      <c r="L41" s="107"/>
      <c r="M41" s="107"/>
      <c r="N41" s="107"/>
      <c r="O41" s="107"/>
      <c r="P41" s="107"/>
      <c r="Q41" s="107"/>
      <c r="R41" s="107"/>
      <c r="S41" s="107"/>
      <c r="T41" s="107"/>
    </row>
    <row r="42" spans="1:20">
      <c r="A42" s="3"/>
      <c r="B42" s="107"/>
      <c r="C42" s="107"/>
      <c r="D42" s="107"/>
      <c r="E42" s="107"/>
      <c r="F42" s="107"/>
      <c r="G42" s="107"/>
      <c r="H42" s="107"/>
      <c r="I42" s="107"/>
      <c r="J42" s="107"/>
      <c r="K42" s="107"/>
      <c r="L42" s="107"/>
      <c r="M42" s="107"/>
      <c r="N42" s="107"/>
      <c r="O42" s="107"/>
      <c r="P42" s="107"/>
      <c r="Q42" s="107"/>
      <c r="R42" s="107"/>
      <c r="S42" s="107"/>
      <c r="T42" s="107"/>
    </row>
    <row r="43" spans="1:20">
      <c r="A43" s="3"/>
      <c r="B43" s="107"/>
      <c r="C43" s="107"/>
      <c r="D43" s="107"/>
      <c r="E43" s="107"/>
      <c r="F43" s="107"/>
      <c r="G43" s="107"/>
      <c r="H43" s="107"/>
      <c r="I43" s="107"/>
      <c r="J43" s="107"/>
      <c r="K43" s="107"/>
      <c r="L43" s="107"/>
      <c r="M43" s="107"/>
      <c r="N43" s="107"/>
      <c r="O43" s="107"/>
      <c r="P43" s="107"/>
      <c r="Q43" s="107"/>
      <c r="R43" s="107"/>
      <c r="S43" s="107"/>
      <c r="T43" s="107"/>
    </row>
    <row r="44" spans="1:20">
      <c r="A44" s="3"/>
      <c r="B44" s="107"/>
      <c r="C44" s="107"/>
      <c r="D44" s="107"/>
      <c r="E44" s="107"/>
      <c r="F44" s="107"/>
      <c r="G44" s="107"/>
      <c r="H44" s="107"/>
      <c r="I44" s="107"/>
      <c r="J44" s="107"/>
      <c r="K44" s="107"/>
      <c r="L44" s="107"/>
      <c r="M44" s="107"/>
      <c r="N44" s="107"/>
      <c r="O44" s="107"/>
      <c r="P44" s="107"/>
      <c r="Q44" s="107"/>
      <c r="R44" s="107"/>
      <c r="S44" s="107"/>
      <c r="T44" s="107"/>
    </row>
    <row r="45" spans="1:20">
      <c r="A45" s="3"/>
      <c r="B45" s="107"/>
      <c r="C45" s="107"/>
      <c r="D45" s="107"/>
      <c r="E45" s="107"/>
      <c r="F45" s="107"/>
      <c r="G45" s="107"/>
      <c r="H45" s="107"/>
      <c r="I45" s="107"/>
      <c r="J45" s="107"/>
      <c r="K45" s="107"/>
      <c r="L45" s="107"/>
      <c r="M45" s="107"/>
      <c r="N45" s="107"/>
      <c r="O45" s="107"/>
      <c r="P45" s="107"/>
      <c r="Q45" s="107"/>
      <c r="R45" s="107"/>
      <c r="S45" s="107"/>
      <c r="T45" s="107"/>
    </row>
    <row r="46" spans="1:20">
      <c r="A46" s="3"/>
      <c r="B46" s="107"/>
      <c r="C46" s="107"/>
      <c r="D46" s="107"/>
      <c r="E46" s="107"/>
      <c r="F46" s="107"/>
      <c r="G46" s="107"/>
      <c r="H46" s="107"/>
      <c r="I46" s="107"/>
      <c r="J46" s="107"/>
      <c r="K46" s="107"/>
      <c r="L46" s="107"/>
      <c r="M46" s="107"/>
      <c r="N46" s="107"/>
      <c r="O46" s="107"/>
      <c r="P46" s="107"/>
      <c r="Q46" s="107"/>
      <c r="R46" s="107"/>
      <c r="S46" s="107"/>
      <c r="T46" s="107"/>
    </row>
    <row r="47" spans="1:20">
      <c r="A47" s="3"/>
      <c r="B47" s="107"/>
      <c r="C47" s="107"/>
      <c r="D47" s="107"/>
      <c r="E47" s="107"/>
      <c r="F47" s="107"/>
      <c r="G47" s="107"/>
      <c r="H47" s="107"/>
      <c r="I47" s="107"/>
      <c r="J47" s="107"/>
      <c r="K47" s="107"/>
      <c r="L47" s="107"/>
      <c r="M47" s="107"/>
      <c r="N47" s="107"/>
      <c r="O47" s="107"/>
      <c r="P47" s="107"/>
      <c r="Q47" s="107"/>
      <c r="R47" s="107"/>
      <c r="S47" s="107"/>
      <c r="T47" s="107"/>
    </row>
    <row r="48" spans="1:20">
      <c r="A48" s="3"/>
      <c r="B48" s="107"/>
      <c r="C48" s="107"/>
      <c r="D48" s="107"/>
      <c r="E48" s="107"/>
      <c r="F48" s="107"/>
      <c r="G48" s="107"/>
      <c r="H48" s="107"/>
      <c r="I48" s="107"/>
      <c r="J48" s="107"/>
      <c r="K48" s="107"/>
      <c r="L48" s="107"/>
      <c r="M48" s="107"/>
      <c r="N48" s="107"/>
      <c r="O48" s="107"/>
      <c r="P48" s="107"/>
      <c r="Q48" s="107"/>
      <c r="R48" s="107"/>
      <c r="S48" s="107"/>
      <c r="T48" s="107"/>
    </row>
    <row r="49" spans="1:20">
      <c r="A49" s="3"/>
      <c r="B49" s="107"/>
      <c r="C49" s="107"/>
      <c r="D49" s="107"/>
      <c r="E49" s="107"/>
      <c r="F49" s="107"/>
      <c r="G49" s="107"/>
      <c r="H49" s="107"/>
      <c r="I49" s="107"/>
      <c r="J49" s="107"/>
      <c r="K49" s="107"/>
      <c r="L49" s="107"/>
      <c r="M49" s="107"/>
      <c r="N49" s="107"/>
      <c r="O49" s="107"/>
      <c r="P49" s="107"/>
      <c r="Q49" s="107"/>
      <c r="R49" s="107"/>
      <c r="S49" s="107"/>
      <c r="T49" s="107"/>
    </row>
    <row r="50" spans="1:20">
      <c r="A50" s="3"/>
      <c r="B50" s="107"/>
      <c r="C50" s="107"/>
      <c r="D50" s="107"/>
      <c r="E50" s="107"/>
      <c r="F50" s="107"/>
      <c r="G50" s="107"/>
      <c r="H50" s="107"/>
      <c r="I50" s="107"/>
      <c r="J50" s="107"/>
      <c r="K50" s="107"/>
      <c r="L50" s="107"/>
      <c r="M50" s="107"/>
      <c r="N50" s="107"/>
      <c r="O50" s="107"/>
      <c r="P50" s="107"/>
      <c r="Q50" s="107"/>
      <c r="R50" s="107"/>
      <c r="S50" s="107"/>
      <c r="T50" s="107"/>
    </row>
    <row r="51" spans="1:20">
      <c r="A51" s="3"/>
      <c r="B51" s="107"/>
      <c r="C51" s="107"/>
      <c r="D51" s="107"/>
      <c r="E51" s="107"/>
      <c r="F51" s="107"/>
      <c r="G51" s="107"/>
      <c r="H51" s="107"/>
      <c r="I51" s="107"/>
      <c r="J51" s="107"/>
      <c r="K51" s="107"/>
      <c r="L51" s="107"/>
      <c r="M51" s="107"/>
      <c r="N51" s="107"/>
      <c r="O51" s="107"/>
      <c r="P51" s="107"/>
      <c r="Q51" s="107"/>
      <c r="R51" s="107"/>
      <c r="S51" s="107"/>
      <c r="T51" s="107"/>
    </row>
    <row r="52" spans="1:20">
      <c r="A52" s="3"/>
      <c r="B52" s="107"/>
      <c r="C52" s="107"/>
      <c r="D52" s="107"/>
      <c r="E52" s="107"/>
      <c r="F52" s="107"/>
      <c r="G52" s="107"/>
      <c r="H52" s="107"/>
      <c r="I52" s="107"/>
      <c r="J52" s="107"/>
      <c r="K52" s="107"/>
      <c r="L52" s="107"/>
      <c r="M52" s="107"/>
      <c r="N52" s="107"/>
      <c r="O52" s="107"/>
      <c r="P52" s="107"/>
      <c r="Q52" s="107"/>
      <c r="R52" s="107"/>
      <c r="S52" s="107"/>
      <c r="T52" s="107"/>
    </row>
    <row r="53" spans="1:20">
      <c r="A53" s="3"/>
      <c r="B53" s="107"/>
      <c r="C53" s="107"/>
      <c r="D53" s="107"/>
      <c r="E53" s="107"/>
      <c r="F53" s="107"/>
      <c r="G53" s="107"/>
      <c r="H53" s="107"/>
      <c r="I53" s="107"/>
      <c r="J53" s="107"/>
      <c r="K53" s="107"/>
      <c r="L53" s="107"/>
      <c r="M53" s="107"/>
      <c r="N53" s="107"/>
      <c r="O53" s="107"/>
      <c r="P53" s="107"/>
      <c r="Q53" s="107"/>
      <c r="R53" s="107"/>
      <c r="S53" s="107"/>
      <c r="T53" s="107"/>
    </row>
    <row r="54" spans="1:20">
      <c r="A54" s="3"/>
      <c r="B54" s="107"/>
      <c r="C54" s="107"/>
      <c r="D54" s="107"/>
      <c r="E54" s="107"/>
      <c r="F54" s="107"/>
      <c r="G54" s="107"/>
      <c r="H54" s="107"/>
      <c r="I54" s="107"/>
      <c r="J54" s="107"/>
      <c r="K54" s="107"/>
      <c r="L54" s="107"/>
      <c r="M54" s="107"/>
      <c r="N54" s="107"/>
      <c r="O54" s="107"/>
      <c r="P54" s="107"/>
      <c r="Q54" s="107"/>
      <c r="R54" s="107"/>
      <c r="S54" s="107"/>
      <c r="T54" s="107"/>
    </row>
    <row r="55" spans="1:20">
      <c r="A55" s="3"/>
      <c r="B55" s="107"/>
      <c r="C55" s="107"/>
      <c r="D55" s="107"/>
      <c r="E55" s="107"/>
      <c r="F55" s="107"/>
      <c r="G55" s="107"/>
      <c r="H55" s="107"/>
      <c r="I55" s="107"/>
      <c r="J55" s="107"/>
      <c r="K55" s="107"/>
      <c r="L55" s="107"/>
      <c r="M55" s="107"/>
      <c r="N55" s="107"/>
      <c r="O55" s="107"/>
      <c r="P55" s="107"/>
      <c r="Q55" s="107"/>
      <c r="R55" s="107"/>
      <c r="S55" s="107"/>
      <c r="T55" s="107"/>
    </row>
    <row r="56" spans="1:20">
      <c r="A56" s="3"/>
      <c r="B56" s="107"/>
      <c r="C56" s="107"/>
      <c r="D56" s="107"/>
      <c r="E56" s="107"/>
      <c r="F56" s="107"/>
      <c r="G56" s="107"/>
      <c r="H56" s="107"/>
      <c r="I56" s="107"/>
      <c r="J56" s="107"/>
      <c r="K56" s="107"/>
      <c r="L56" s="107"/>
      <c r="M56" s="107"/>
      <c r="N56" s="107"/>
      <c r="O56" s="107"/>
      <c r="P56" s="107"/>
      <c r="Q56" s="107"/>
      <c r="R56" s="107"/>
      <c r="S56" s="107"/>
      <c r="T56" s="107"/>
    </row>
    <row r="57" spans="1:20">
      <c r="A57" s="3"/>
      <c r="B57" s="107"/>
      <c r="C57" s="107"/>
      <c r="D57" s="107"/>
      <c r="E57" s="107"/>
      <c r="F57" s="107"/>
      <c r="G57" s="107"/>
      <c r="H57" s="107"/>
      <c r="I57" s="107"/>
      <c r="J57" s="107"/>
      <c r="K57" s="107"/>
      <c r="L57" s="107"/>
      <c r="M57" s="107"/>
      <c r="N57" s="107"/>
      <c r="O57" s="107"/>
      <c r="P57" s="107"/>
      <c r="Q57" s="107"/>
      <c r="R57" s="107"/>
      <c r="S57" s="107"/>
      <c r="T57" s="107"/>
    </row>
    <row r="58" spans="1:20">
      <c r="A58" s="3"/>
      <c r="B58" s="107"/>
      <c r="C58" s="107"/>
      <c r="D58" s="107"/>
      <c r="E58" s="107"/>
      <c r="F58" s="107"/>
      <c r="G58" s="107"/>
      <c r="H58" s="107"/>
      <c r="I58" s="107"/>
      <c r="J58" s="107"/>
      <c r="K58" s="107"/>
      <c r="L58" s="107"/>
      <c r="M58" s="107"/>
      <c r="N58" s="107"/>
      <c r="O58" s="107"/>
      <c r="P58" s="107"/>
      <c r="Q58" s="107"/>
      <c r="R58" s="107"/>
      <c r="S58" s="107"/>
      <c r="T58" s="107"/>
    </row>
    <row r="59" spans="1:20">
      <c r="A59" s="3"/>
      <c r="B59" s="107"/>
      <c r="C59" s="107"/>
      <c r="D59" s="107"/>
      <c r="E59" s="107"/>
      <c r="F59" s="107"/>
      <c r="G59" s="107"/>
      <c r="H59" s="107"/>
      <c r="I59" s="107"/>
      <c r="J59" s="107"/>
      <c r="K59" s="107"/>
      <c r="L59" s="107"/>
      <c r="M59" s="107"/>
      <c r="N59" s="107"/>
      <c r="O59" s="107"/>
      <c r="P59" s="107"/>
      <c r="Q59" s="107"/>
      <c r="R59" s="107"/>
      <c r="S59" s="107"/>
      <c r="T59" s="107"/>
    </row>
    <row r="60" spans="1:20">
      <c r="A60" s="3"/>
      <c r="B60" s="107"/>
      <c r="C60" s="107"/>
      <c r="D60" s="107"/>
      <c r="E60" s="107"/>
      <c r="F60" s="107"/>
      <c r="G60" s="107"/>
      <c r="H60" s="107"/>
      <c r="I60" s="107"/>
      <c r="J60" s="107"/>
      <c r="K60" s="107"/>
      <c r="L60" s="107"/>
      <c r="M60" s="107"/>
      <c r="N60" s="107"/>
      <c r="O60" s="107"/>
      <c r="P60" s="107"/>
      <c r="Q60" s="107"/>
      <c r="R60" s="107"/>
      <c r="S60" s="107"/>
      <c r="T60" s="107"/>
    </row>
    <row r="61" spans="1:20">
      <c r="A61" s="3"/>
      <c r="B61" s="107"/>
      <c r="C61" s="107"/>
      <c r="D61" s="107"/>
      <c r="E61" s="107"/>
      <c r="F61" s="107"/>
      <c r="G61" s="107"/>
      <c r="H61" s="107"/>
      <c r="I61" s="107"/>
      <c r="J61" s="107"/>
      <c r="K61" s="107"/>
      <c r="L61" s="107"/>
      <c r="M61" s="107"/>
      <c r="N61" s="107"/>
      <c r="O61" s="107"/>
      <c r="P61" s="107"/>
      <c r="Q61" s="107"/>
      <c r="R61" s="107"/>
      <c r="S61" s="107"/>
      <c r="T61" s="107"/>
    </row>
    <row r="62" spans="1:20">
      <c r="A62" s="3"/>
      <c r="B62" s="107"/>
      <c r="C62" s="107"/>
      <c r="D62" s="107"/>
      <c r="E62" s="107"/>
      <c r="F62" s="107"/>
      <c r="G62" s="107"/>
      <c r="H62" s="107"/>
      <c r="I62" s="107"/>
      <c r="J62" s="107"/>
      <c r="K62" s="107"/>
      <c r="L62" s="107"/>
      <c r="M62" s="107"/>
      <c r="N62" s="107"/>
      <c r="O62" s="107"/>
      <c r="P62" s="107"/>
      <c r="Q62" s="107"/>
      <c r="R62" s="107"/>
      <c r="S62" s="107"/>
      <c r="T62" s="107"/>
    </row>
    <row r="63" spans="1:20">
      <c r="A63" s="3"/>
      <c r="B63" s="107"/>
      <c r="C63" s="107"/>
      <c r="D63" s="107"/>
      <c r="E63" s="107"/>
      <c r="F63" s="107"/>
      <c r="G63" s="107"/>
      <c r="H63" s="107"/>
      <c r="I63" s="107"/>
      <c r="J63" s="107"/>
      <c r="K63" s="107"/>
      <c r="L63" s="107"/>
      <c r="M63" s="107"/>
      <c r="N63" s="107"/>
      <c r="O63" s="107"/>
      <c r="P63" s="107"/>
      <c r="Q63" s="107"/>
      <c r="R63" s="107"/>
      <c r="S63" s="107"/>
      <c r="T63" s="107"/>
    </row>
    <row r="64" spans="1:20">
      <c r="A64" s="3"/>
      <c r="B64" s="107"/>
      <c r="C64" s="107"/>
      <c r="D64" s="107"/>
      <c r="E64" s="107"/>
      <c r="F64" s="107"/>
      <c r="G64" s="107"/>
      <c r="H64" s="107"/>
      <c r="I64" s="107"/>
      <c r="J64" s="107"/>
      <c r="K64" s="107"/>
      <c r="L64" s="107"/>
      <c r="M64" s="107"/>
      <c r="N64" s="107"/>
      <c r="O64" s="107"/>
      <c r="P64" s="107"/>
      <c r="Q64" s="107"/>
      <c r="R64" s="107"/>
      <c r="S64" s="107"/>
      <c r="T64" s="107"/>
    </row>
    <row r="65" spans="1:20">
      <c r="A65" s="3"/>
      <c r="B65" s="107"/>
      <c r="C65" s="107"/>
      <c r="D65" s="107"/>
      <c r="E65" s="107"/>
      <c r="F65" s="107"/>
      <c r="G65" s="107"/>
      <c r="H65" s="107"/>
      <c r="I65" s="107"/>
      <c r="J65" s="107"/>
      <c r="K65" s="107"/>
      <c r="L65" s="107"/>
      <c r="M65" s="107"/>
      <c r="N65" s="107"/>
      <c r="O65" s="107"/>
      <c r="P65" s="107"/>
      <c r="Q65" s="107"/>
      <c r="R65" s="107"/>
      <c r="S65" s="107"/>
      <c r="T65" s="107"/>
    </row>
    <row r="66" spans="1:20">
      <c r="A66" s="3"/>
      <c r="B66" s="107"/>
      <c r="C66" s="107"/>
      <c r="D66" s="107"/>
      <c r="E66" s="107"/>
      <c r="F66" s="107"/>
      <c r="G66" s="107"/>
      <c r="H66" s="107"/>
      <c r="I66" s="107"/>
      <c r="J66" s="107"/>
      <c r="K66" s="107"/>
      <c r="L66" s="107"/>
      <c r="M66" s="107"/>
      <c r="N66" s="107"/>
      <c r="O66" s="107"/>
      <c r="P66" s="107"/>
      <c r="Q66" s="107"/>
      <c r="R66" s="107"/>
      <c r="S66" s="107"/>
      <c r="T66" s="107"/>
    </row>
    <row r="67" spans="1:20">
      <c r="A67" s="3"/>
      <c r="B67" s="107"/>
      <c r="C67" s="107"/>
      <c r="D67" s="107"/>
      <c r="E67" s="107"/>
      <c r="F67" s="107"/>
      <c r="G67" s="107"/>
      <c r="H67" s="107"/>
      <c r="I67" s="107"/>
      <c r="J67" s="107"/>
      <c r="K67" s="107"/>
      <c r="L67" s="107"/>
      <c r="M67" s="107"/>
      <c r="N67" s="107"/>
      <c r="O67" s="107"/>
      <c r="P67" s="107"/>
      <c r="Q67" s="107"/>
      <c r="R67" s="107"/>
      <c r="S67" s="107"/>
      <c r="T67" s="107"/>
    </row>
    <row r="68" spans="1:20">
      <c r="A68" s="3"/>
      <c r="B68" s="107"/>
      <c r="C68" s="107"/>
      <c r="D68" s="107"/>
      <c r="E68" s="107"/>
      <c r="F68" s="107"/>
      <c r="G68" s="107"/>
      <c r="H68" s="107"/>
      <c r="I68" s="107"/>
      <c r="J68" s="107"/>
      <c r="K68" s="107"/>
      <c r="L68" s="107"/>
      <c r="M68" s="107"/>
      <c r="N68" s="107"/>
      <c r="O68" s="107"/>
      <c r="P68" s="107"/>
      <c r="Q68" s="107"/>
      <c r="R68" s="107"/>
      <c r="S68" s="107"/>
      <c r="T68" s="107"/>
    </row>
    <row r="69" spans="1:20">
      <c r="A69" s="3"/>
      <c r="B69" s="107"/>
      <c r="C69" s="107"/>
      <c r="D69" s="107"/>
      <c r="E69" s="107"/>
      <c r="F69" s="107"/>
      <c r="G69" s="107"/>
      <c r="H69" s="107"/>
      <c r="I69" s="107"/>
      <c r="J69" s="107"/>
      <c r="K69" s="107"/>
      <c r="L69" s="107"/>
      <c r="M69" s="107"/>
      <c r="N69" s="107"/>
      <c r="O69" s="107"/>
      <c r="P69" s="107"/>
      <c r="Q69" s="107"/>
      <c r="R69" s="107"/>
      <c r="S69" s="107"/>
      <c r="T69" s="107"/>
    </row>
    <row r="70" spans="1:20">
      <c r="A70" s="3"/>
      <c r="B70" s="107"/>
      <c r="C70" s="107"/>
      <c r="D70" s="107"/>
      <c r="E70" s="107"/>
      <c r="F70" s="107"/>
      <c r="G70" s="107"/>
      <c r="H70" s="107"/>
      <c r="I70" s="107"/>
      <c r="J70" s="107"/>
      <c r="K70" s="107"/>
      <c r="L70" s="107"/>
      <c r="M70" s="107"/>
      <c r="N70" s="107"/>
      <c r="O70" s="107"/>
      <c r="P70" s="107"/>
      <c r="Q70" s="107"/>
      <c r="R70" s="107"/>
      <c r="S70" s="107"/>
      <c r="T70" s="107"/>
    </row>
    <row r="71" spans="1:20">
      <c r="A71" s="3"/>
      <c r="B71" s="107"/>
      <c r="C71" s="107"/>
      <c r="D71" s="107"/>
      <c r="E71" s="107"/>
      <c r="F71" s="107"/>
      <c r="G71" s="107"/>
      <c r="H71" s="107"/>
      <c r="I71" s="107"/>
      <c r="J71" s="107"/>
      <c r="K71" s="107"/>
      <c r="L71" s="107"/>
      <c r="M71" s="107"/>
      <c r="N71" s="107"/>
      <c r="O71" s="107"/>
      <c r="P71" s="107"/>
      <c r="Q71" s="107"/>
      <c r="R71" s="107"/>
      <c r="S71" s="107"/>
      <c r="T71" s="107"/>
    </row>
    <row r="72" spans="1:20">
      <c r="A72" s="3"/>
      <c r="B72" s="107"/>
      <c r="C72" s="107"/>
      <c r="D72" s="107"/>
      <c r="E72" s="107"/>
      <c r="F72" s="107"/>
      <c r="G72" s="107"/>
      <c r="H72" s="107"/>
      <c r="I72" s="107"/>
      <c r="J72" s="107"/>
      <c r="K72" s="107"/>
      <c r="L72" s="107"/>
      <c r="M72" s="107"/>
      <c r="N72" s="107"/>
      <c r="O72" s="107"/>
      <c r="P72" s="107"/>
      <c r="Q72" s="107"/>
      <c r="R72" s="107"/>
      <c r="S72" s="107"/>
      <c r="T72" s="107"/>
    </row>
    <row r="73" spans="1:20">
      <c r="A73" s="3"/>
      <c r="B73" s="107"/>
      <c r="C73" s="107"/>
      <c r="D73" s="107"/>
      <c r="E73" s="107"/>
      <c r="F73" s="107"/>
      <c r="G73" s="107"/>
      <c r="H73" s="107"/>
      <c r="I73" s="107"/>
      <c r="J73" s="107"/>
      <c r="K73" s="107"/>
      <c r="L73" s="107"/>
      <c r="M73" s="107"/>
      <c r="N73" s="107"/>
      <c r="O73" s="107"/>
      <c r="P73" s="107"/>
      <c r="Q73" s="107"/>
      <c r="R73" s="107"/>
      <c r="S73" s="107"/>
      <c r="T73" s="107"/>
    </row>
    <row r="74" spans="1:20">
      <c r="A74" s="3"/>
      <c r="B74" s="107"/>
      <c r="C74" s="107"/>
      <c r="D74" s="107"/>
      <c r="E74" s="107"/>
      <c r="F74" s="107"/>
      <c r="G74" s="107"/>
      <c r="H74" s="107"/>
      <c r="I74" s="107"/>
      <c r="J74" s="107"/>
      <c r="K74" s="107"/>
      <c r="L74" s="107"/>
      <c r="M74" s="107"/>
      <c r="N74" s="107"/>
      <c r="O74" s="107"/>
      <c r="P74" s="107"/>
      <c r="Q74" s="107"/>
      <c r="R74" s="107"/>
      <c r="S74" s="107"/>
      <c r="T74" s="107"/>
    </row>
    <row r="75" spans="1:20">
      <c r="A75" s="3"/>
      <c r="B75" s="107"/>
      <c r="C75" s="107"/>
      <c r="D75" s="107"/>
      <c r="E75" s="107"/>
      <c r="F75" s="107"/>
      <c r="G75" s="107"/>
      <c r="H75" s="107"/>
      <c r="I75" s="107"/>
      <c r="J75" s="107"/>
      <c r="K75" s="107"/>
      <c r="L75" s="107"/>
      <c r="M75" s="107"/>
      <c r="N75" s="107"/>
      <c r="O75" s="107"/>
      <c r="P75" s="107"/>
      <c r="Q75" s="107"/>
      <c r="R75" s="107"/>
      <c r="S75" s="107"/>
      <c r="T75" s="107"/>
    </row>
    <row r="76" spans="1:20">
      <c r="A76" s="3"/>
      <c r="B76" s="107"/>
      <c r="C76" s="107"/>
      <c r="D76" s="107"/>
      <c r="E76" s="107"/>
      <c r="F76" s="107"/>
      <c r="G76" s="107"/>
      <c r="H76" s="107"/>
      <c r="I76" s="107"/>
      <c r="J76" s="107"/>
      <c r="K76" s="107"/>
      <c r="L76" s="107"/>
      <c r="M76" s="107"/>
      <c r="N76" s="107"/>
      <c r="O76" s="107"/>
      <c r="P76" s="107"/>
      <c r="Q76" s="107"/>
      <c r="R76" s="107"/>
      <c r="S76" s="107"/>
      <c r="T76" s="107"/>
    </row>
    <row r="77" spans="1:20">
      <c r="A77" s="3"/>
      <c r="B77" s="107"/>
      <c r="C77" s="107"/>
      <c r="D77" s="107"/>
      <c r="E77" s="107"/>
      <c r="F77" s="107"/>
      <c r="G77" s="107"/>
      <c r="H77" s="107"/>
      <c r="I77" s="107"/>
      <c r="J77" s="107"/>
      <c r="K77" s="107"/>
      <c r="L77" s="107"/>
      <c r="M77" s="107"/>
      <c r="N77" s="107"/>
      <c r="O77" s="107"/>
      <c r="P77" s="107"/>
      <c r="Q77" s="107"/>
      <c r="R77" s="107"/>
      <c r="S77" s="107"/>
      <c r="T77" s="107"/>
    </row>
    <row r="78" spans="1:20">
      <c r="A78" s="3"/>
      <c r="B78" s="107"/>
      <c r="C78" s="107"/>
      <c r="D78" s="107"/>
      <c r="E78" s="107"/>
      <c r="F78" s="107"/>
      <c r="G78" s="107"/>
      <c r="H78" s="107"/>
      <c r="I78" s="107"/>
      <c r="J78" s="107"/>
      <c r="K78" s="107"/>
      <c r="L78" s="107"/>
      <c r="M78" s="107"/>
      <c r="N78" s="107"/>
      <c r="O78" s="107"/>
      <c r="P78" s="107"/>
      <c r="Q78" s="107"/>
      <c r="R78" s="107"/>
      <c r="S78" s="107"/>
      <c r="T78" s="107"/>
    </row>
    <row r="79" spans="1:20">
      <c r="A79" s="3"/>
      <c r="B79" s="107"/>
      <c r="C79" s="107"/>
      <c r="D79" s="107"/>
      <c r="E79" s="107"/>
      <c r="F79" s="107"/>
      <c r="G79" s="107"/>
      <c r="H79" s="107"/>
      <c r="I79" s="107"/>
      <c r="J79" s="107"/>
      <c r="K79" s="107"/>
      <c r="L79" s="107"/>
      <c r="M79" s="107"/>
      <c r="N79" s="107"/>
      <c r="O79" s="107"/>
      <c r="P79" s="107"/>
      <c r="Q79" s="107"/>
      <c r="R79" s="107"/>
      <c r="S79" s="107"/>
      <c r="T79" s="107"/>
    </row>
    <row r="80" spans="1:20">
      <c r="A80" s="3"/>
      <c r="B80" s="107"/>
      <c r="C80" s="107"/>
      <c r="D80" s="107"/>
      <c r="E80" s="107"/>
      <c r="F80" s="107"/>
      <c r="G80" s="107"/>
      <c r="H80" s="107"/>
      <c r="I80" s="107"/>
      <c r="J80" s="107"/>
      <c r="K80" s="107"/>
      <c r="L80" s="107"/>
      <c r="M80" s="107"/>
      <c r="N80" s="107"/>
      <c r="O80" s="107"/>
      <c r="P80" s="107"/>
      <c r="Q80" s="107"/>
      <c r="R80" s="107"/>
      <c r="S80" s="107"/>
      <c r="T80" s="107"/>
    </row>
    <row r="81" spans="1:20">
      <c r="A81" s="3"/>
      <c r="B81" s="107"/>
      <c r="C81" s="107"/>
      <c r="D81" s="107"/>
      <c r="E81" s="107"/>
      <c r="F81" s="107"/>
      <c r="G81" s="107"/>
      <c r="H81" s="107"/>
      <c r="I81" s="107"/>
      <c r="J81" s="107"/>
      <c r="K81" s="107"/>
      <c r="L81" s="107"/>
      <c r="M81" s="107"/>
      <c r="N81" s="107"/>
      <c r="O81" s="107"/>
      <c r="P81" s="107"/>
      <c r="Q81" s="107"/>
      <c r="R81" s="107"/>
      <c r="S81" s="107"/>
      <c r="T81" s="107"/>
    </row>
    <row r="82" spans="1:20">
      <c r="A82" s="3"/>
      <c r="B82" s="107"/>
      <c r="C82" s="107"/>
      <c r="D82" s="107"/>
      <c r="E82" s="107"/>
      <c r="F82" s="107"/>
      <c r="G82" s="107"/>
      <c r="H82" s="107"/>
      <c r="I82" s="107"/>
      <c r="J82" s="107"/>
      <c r="K82" s="107"/>
      <c r="L82" s="107"/>
      <c r="M82" s="107"/>
      <c r="N82" s="107"/>
      <c r="O82" s="107"/>
      <c r="P82" s="107"/>
      <c r="Q82" s="107"/>
      <c r="R82" s="107"/>
      <c r="S82" s="107"/>
      <c r="T82" s="107"/>
    </row>
  </sheetData>
  <conditionalFormatting sqref="B17:T82">
    <cfRule type="cellIs" dxfId="1" priority="1" operator="equal">
      <formula>"X"</formula>
    </cfRule>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4D2B6636-0EDB-47AE-98C1-AE9BDEEA24DC}">
          <x14:formula1>
            <xm:f>Parameters!$A$2:$A$5</xm:f>
          </x14:formula1>
          <xm:sqref>B7:T7</xm:sqref>
        </x14:dataValidation>
        <x14:dataValidation type="list" allowBlank="1" showInputMessage="1" showErrorMessage="1" xr:uid="{DCC4A12F-6CF8-4DF7-A28C-ADB88974F010}">
          <x14:formula1>
            <xm:f>Parameters!$C$2:$C$5</xm:f>
          </x14:formula1>
          <xm:sqref>B9:T9</xm:sqref>
        </x14:dataValidation>
        <x14:dataValidation type="list" allowBlank="1" showInputMessage="1" showErrorMessage="1" xr:uid="{AEDF7876-2205-4F0B-8ACB-31902CC191FA}">
          <x14:formula1>
            <xm:f>Parameters!$E$2:$E$6</xm:f>
          </x14:formula1>
          <xm:sqref>B10:T11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963DF-613A-4B56-94DD-096DE141B940}">
  <sheetPr>
    <tabColor theme="7" tint="-0.249977111117893"/>
  </sheetPr>
  <dimension ref="A1:T62"/>
  <sheetViews>
    <sheetView zoomScaleNormal="100" workbookViewId="0">
      <pane xSplit="1" ySplit="7" topLeftCell="B8" activePane="bottomRight" state="frozen"/>
      <selection pane="topRight" activeCell="B1" sqref="B1"/>
      <selection pane="bottomLeft" activeCell="A10" sqref="A10"/>
      <selection pane="bottomRight" activeCell="C10" sqref="C10"/>
    </sheetView>
  </sheetViews>
  <sheetFormatPr baseColWidth="10" defaultColWidth="11.42578125" defaultRowHeight="15"/>
  <cols>
    <col min="1" max="1" width="46.42578125" style="15" bestFit="1" customWidth="1"/>
    <col min="2" max="3" width="36" style="15" customWidth="1"/>
    <col min="4" max="4" width="41" style="15" customWidth="1"/>
    <col min="5" max="5" width="39.42578125" style="15" customWidth="1"/>
    <col min="6" max="6" width="33.5703125" style="15" customWidth="1"/>
    <col min="7" max="7" width="42.42578125" style="15" customWidth="1"/>
    <col min="8" max="9" width="43.140625" style="15" customWidth="1"/>
    <col min="10" max="10" width="42.42578125" style="15" customWidth="1"/>
    <col min="11" max="12" width="43.140625" style="15" customWidth="1"/>
    <col min="13" max="13" width="42.42578125" style="15" customWidth="1"/>
    <col min="14" max="15" width="43.140625" style="15" customWidth="1"/>
    <col min="16" max="16" width="42.5703125" style="15" customWidth="1"/>
    <col min="17" max="17" width="8.7109375" style="15" bestFit="1" customWidth="1"/>
    <col min="18" max="18" width="11.42578125" style="15"/>
    <col min="19" max="19" width="22.28515625" style="15" customWidth="1"/>
    <col min="20" max="20" width="15.42578125" style="15" bestFit="1" customWidth="1"/>
    <col min="21" max="16384" width="11.42578125" style="15"/>
  </cols>
  <sheetData>
    <row r="1" spans="1:20" ht="15.75">
      <c r="A1" s="14" t="s">
        <v>71</v>
      </c>
      <c r="B1" s="23"/>
      <c r="C1" s="23"/>
      <c r="D1" s="23"/>
      <c r="E1" s="8"/>
      <c r="F1" s="8"/>
      <c r="G1" s="8"/>
      <c r="H1" s="8"/>
      <c r="I1" s="8"/>
      <c r="J1" s="8"/>
      <c r="K1" s="8"/>
      <c r="L1" s="8"/>
      <c r="M1" s="8"/>
      <c r="N1" s="8"/>
      <c r="O1" s="8"/>
      <c r="P1" s="23"/>
      <c r="Q1" s="8"/>
      <c r="R1" s="8"/>
      <c r="S1" s="8"/>
      <c r="T1" s="8"/>
    </row>
    <row r="2" spans="1:20" ht="15" customHeight="1">
      <c r="A2" s="15" t="s">
        <v>74</v>
      </c>
      <c r="C2" s="174" t="s">
        <v>72</v>
      </c>
      <c r="D2" s="175"/>
      <c r="E2" s="48" t="s">
        <v>233</v>
      </c>
      <c r="P2" s="173" t="s">
        <v>73</v>
      </c>
    </row>
    <row r="3" spans="1:20" ht="15" customHeight="1" thickBot="1">
      <c r="P3" s="173"/>
    </row>
    <row r="4" spans="1:20" ht="15.75" hidden="1" customHeight="1">
      <c r="B4" s="15" t="b">
        <v>1</v>
      </c>
      <c r="C4" s="15" t="b">
        <v>1</v>
      </c>
      <c r="D4" s="15" t="b">
        <v>1</v>
      </c>
      <c r="E4" s="15" t="b">
        <v>1</v>
      </c>
      <c r="F4" s="15" t="b">
        <v>1</v>
      </c>
      <c r="G4" s="15" t="b">
        <v>1</v>
      </c>
      <c r="H4" s="15" t="b">
        <v>1</v>
      </c>
      <c r="I4" s="15" t="b">
        <v>1</v>
      </c>
      <c r="J4" s="15" t="b">
        <v>1</v>
      </c>
      <c r="K4" s="15" t="b">
        <v>1</v>
      </c>
      <c r="L4" s="15" t="b">
        <v>1</v>
      </c>
      <c r="M4" s="15" t="b">
        <v>1</v>
      </c>
      <c r="N4" s="15" t="b">
        <v>1</v>
      </c>
      <c r="O4" s="15" t="b">
        <v>1</v>
      </c>
      <c r="P4" s="15" t="b">
        <f>AND($E$2="Yes")</f>
        <v>1</v>
      </c>
    </row>
    <row r="5" spans="1:20" ht="15.75" hidden="1" thickBot="1">
      <c r="B5" s="15">
        <f>COUNTIF($A4:B4,TRUE)</f>
        <v>1</v>
      </c>
      <c r="C5" s="15">
        <f>COUNTIF($A4:C4,TRUE)</f>
        <v>2</v>
      </c>
      <c r="D5" s="15">
        <f>COUNTIF($A4:D4,TRUE)</f>
        <v>3</v>
      </c>
      <c r="E5" s="15">
        <f>COUNTIF($A4:E4,TRUE)</f>
        <v>4</v>
      </c>
      <c r="F5" s="15">
        <f>COUNTIF($A4:F4,TRUE)</f>
        <v>5</v>
      </c>
      <c r="G5" s="15">
        <f>COUNTIF($A4:G4,TRUE)</f>
        <v>6</v>
      </c>
      <c r="H5" s="15">
        <f>COUNTIF($A4:H4,TRUE)</f>
        <v>7</v>
      </c>
      <c r="I5" s="15">
        <f>COUNTIF($A4:I4,TRUE)</f>
        <v>8</v>
      </c>
      <c r="J5" s="15">
        <f>COUNTIF($A4:J4,TRUE)</f>
        <v>9</v>
      </c>
      <c r="K5" s="15">
        <f>COUNTIF($A4:K4,TRUE)</f>
        <v>10</v>
      </c>
      <c r="L5" s="15">
        <f>COUNTIF($A4:L4,TRUE)</f>
        <v>11</v>
      </c>
      <c r="M5" s="15">
        <f>COUNTIF($A4:M4,TRUE)</f>
        <v>12</v>
      </c>
      <c r="N5" s="15">
        <f>COUNTIF($A4:N4,TRUE)</f>
        <v>13</v>
      </c>
      <c r="O5" s="15">
        <f>COUNTIF($A4:O4,TRUE)</f>
        <v>14</v>
      </c>
      <c r="P5" s="15">
        <f>COUNTIF($A4:P4,TRUE)</f>
        <v>15</v>
      </c>
    </row>
    <row r="6" spans="1:20" ht="15" customHeight="1">
      <c r="G6" s="176" t="s">
        <v>75</v>
      </c>
      <c r="H6" s="177"/>
      <c r="I6" s="129"/>
      <c r="J6" s="176" t="s">
        <v>76</v>
      </c>
      <c r="K6" s="177"/>
      <c r="L6" s="129"/>
      <c r="M6" s="178" t="s">
        <v>77</v>
      </c>
      <c r="N6" s="179"/>
      <c r="O6" s="180"/>
    </row>
    <row r="7" spans="1:20">
      <c r="A7" s="16"/>
      <c r="B7" s="9" t="str">
        <f>IF(B4,"Profile "&amp;B5,"")</f>
        <v>Profile 1</v>
      </c>
      <c r="C7" s="9" t="str">
        <f t="shared" ref="C7:P7" si="0">IF(C4,"Profile "&amp;C5,"")</f>
        <v>Profile 2</v>
      </c>
      <c r="D7" s="9" t="str">
        <f t="shared" si="0"/>
        <v>Profile 3</v>
      </c>
      <c r="E7" s="9" t="str">
        <f t="shared" si="0"/>
        <v>Profile 4</v>
      </c>
      <c r="F7" s="9" t="str">
        <f t="shared" si="0"/>
        <v>Profile 5</v>
      </c>
      <c r="G7" s="9" t="str">
        <f t="shared" si="0"/>
        <v>Profile 6</v>
      </c>
      <c r="H7" s="9" t="str">
        <f t="shared" si="0"/>
        <v>Profile 7</v>
      </c>
      <c r="I7" s="9" t="str">
        <f t="shared" si="0"/>
        <v>Profile 8</v>
      </c>
      <c r="J7" s="9" t="str">
        <f t="shared" si="0"/>
        <v>Profile 9</v>
      </c>
      <c r="K7" s="9" t="str">
        <f t="shared" si="0"/>
        <v>Profile 10</v>
      </c>
      <c r="L7" s="9" t="str">
        <f t="shared" si="0"/>
        <v>Profile 11</v>
      </c>
      <c r="M7" s="9" t="str">
        <f t="shared" si="0"/>
        <v>Profile 12</v>
      </c>
      <c r="N7" s="9" t="str">
        <f t="shared" si="0"/>
        <v>Profile 13</v>
      </c>
      <c r="O7" s="9" t="str">
        <f t="shared" si="0"/>
        <v>Profile 14</v>
      </c>
      <c r="P7" s="9" t="str">
        <f t="shared" si="0"/>
        <v>Profile 15</v>
      </c>
    </row>
    <row r="8" spans="1:20" ht="63.75" customHeight="1">
      <c r="A8" s="17" t="s">
        <v>60</v>
      </c>
      <c r="B8" s="22" t="s">
        <v>182</v>
      </c>
      <c r="C8" s="22" t="s">
        <v>183</v>
      </c>
      <c r="D8" s="22" t="s">
        <v>184</v>
      </c>
      <c r="E8" s="22" t="s">
        <v>185</v>
      </c>
      <c r="F8" s="61" t="s">
        <v>186</v>
      </c>
      <c r="G8" s="79" t="s">
        <v>207</v>
      </c>
      <c r="H8" s="61" t="s">
        <v>208</v>
      </c>
      <c r="I8" s="61" t="s">
        <v>225</v>
      </c>
      <c r="J8" s="79" t="s">
        <v>209</v>
      </c>
      <c r="K8" s="61" t="s">
        <v>210</v>
      </c>
      <c r="L8" s="61" t="s">
        <v>232</v>
      </c>
      <c r="M8" s="79" t="s">
        <v>211</v>
      </c>
      <c r="N8" s="22" t="s">
        <v>212</v>
      </c>
      <c r="O8" s="119" t="s">
        <v>231</v>
      </c>
      <c r="P8" s="69" t="s">
        <v>205</v>
      </c>
    </row>
    <row r="9" spans="1:20" ht="79.5" customHeight="1">
      <c r="A9" s="17" t="s">
        <v>61</v>
      </c>
      <c r="B9" s="13" t="s">
        <v>78</v>
      </c>
      <c r="C9" s="13" t="s">
        <v>79</v>
      </c>
      <c r="D9" s="13" t="s">
        <v>80</v>
      </c>
      <c r="E9" s="13" t="s">
        <v>81</v>
      </c>
      <c r="F9" s="62" t="s">
        <v>82</v>
      </c>
      <c r="G9" s="80" t="s">
        <v>83</v>
      </c>
      <c r="H9" s="62" t="s">
        <v>84</v>
      </c>
      <c r="I9" s="62" t="s">
        <v>226</v>
      </c>
      <c r="J9" s="80" t="s">
        <v>83</v>
      </c>
      <c r="K9" s="62" t="s">
        <v>84</v>
      </c>
      <c r="L9" s="62" t="s">
        <v>226</v>
      </c>
      <c r="M9" s="80" t="s">
        <v>83</v>
      </c>
      <c r="N9" s="13" t="s">
        <v>84</v>
      </c>
      <c r="O9" s="120" t="s">
        <v>226</v>
      </c>
      <c r="P9" s="70" t="s">
        <v>85</v>
      </c>
    </row>
    <row r="10" spans="1:20" ht="60">
      <c r="A10" s="17" t="s">
        <v>62</v>
      </c>
      <c r="B10" s="18" t="s">
        <v>86</v>
      </c>
      <c r="C10" s="18" t="s">
        <v>234</v>
      </c>
      <c r="D10" s="18" t="s">
        <v>87</v>
      </c>
      <c r="E10" s="18" t="s">
        <v>88</v>
      </c>
      <c r="F10" s="62" t="s">
        <v>89</v>
      </c>
      <c r="G10" s="80" t="s">
        <v>220</v>
      </c>
      <c r="H10" s="62" t="s">
        <v>217</v>
      </c>
      <c r="I10" s="62" t="s">
        <v>227</v>
      </c>
      <c r="J10" s="80" t="s">
        <v>218</v>
      </c>
      <c r="K10" s="62" t="s">
        <v>219</v>
      </c>
      <c r="L10" s="62" t="s">
        <v>227</v>
      </c>
      <c r="M10" s="80" t="s">
        <v>218</v>
      </c>
      <c r="N10" s="13" t="s">
        <v>217</v>
      </c>
      <c r="O10" s="120" t="s">
        <v>227</v>
      </c>
      <c r="P10" s="71" t="s">
        <v>90</v>
      </c>
    </row>
    <row r="11" spans="1:20">
      <c r="A11" s="17" t="s">
        <v>63</v>
      </c>
      <c r="B11" s="10" t="s">
        <v>91</v>
      </c>
      <c r="C11" s="10" t="s">
        <v>91</v>
      </c>
      <c r="D11" s="10" t="s">
        <v>91</v>
      </c>
      <c r="E11" s="10" t="s">
        <v>91</v>
      </c>
      <c r="F11" s="63" t="s">
        <v>91</v>
      </c>
      <c r="G11" s="81" t="s">
        <v>91</v>
      </c>
      <c r="H11" s="63" t="s">
        <v>91</v>
      </c>
      <c r="I11" s="63" t="s">
        <v>91</v>
      </c>
      <c r="J11" s="81" t="s">
        <v>91</v>
      </c>
      <c r="K11" s="63" t="s">
        <v>91</v>
      </c>
      <c r="L11" s="63" t="s">
        <v>91</v>
      </c>
      <c r="M11" s="81" t="s">
        <v>91</v>
      </c>
      <c r="N11" s="10" t="s">
        <v>91</v>
      </c>
      <c r="O11" s="121" t="s">
        <v>91</v>
      </c>
      <c r="P11" s="72" t="s">
        <v>91</v>
      </c>
    </row>
    <row r="12" spans="1:20">
      <c r="A12" s="19" t="s">
        <v>64</v>
      </c>
      <c r="B12" s="36" t="s">
        <v>92</v>
      </c>
      <c r="C12" s="36" t="s">
        <v>92</v>
      </c>
      <c r="D12" s="36" t="s">
        <v>92</v>
      </c>
      <c r="E12" s="36" t="s">
        <v>92</v>
      </c>
      <c r="F12" s="64" t="s">
        <v>92</v>
      </c>
      <c r="G12" s="82" t="s">
        <v>92</v>
      </c>
      <c r="H12" s="64" t="s">
        <v>92</v>
      </c>
      <c r="I12" s="64" t="s">
        <v>92</v>
      </c>
      <c r="J12" s="82" t="s">
        <v>92</v>
      </c>
      <c r="K12" s="64" t="s">
        <v>92</v>
      </c>
      <c r="L12" s="64" t="s">
        <v>92</v>
      </c>
      <c r="M12" s="82" t="s">
        <v>92</v>
      </c>
      <c r="N12" s="36" t="s">
        <v>92</v>
      </c>
      <c r="O12" s="122" t="s">
        <v>92</v>
      </c>
      <c r="P12" s="73" t="s">
        <v>92</v>
      </c>
      <c r="Q12" s="47" t="s">
        <v>93</v>
      </c>
    </row>
    <row r="13" spans="1:20">
      <c r="A13" s="19" t="s">
        <v>65</v>
      </c>
      <c r="B13" s="10" t="s">
        <v>94</v>
      </c>
      <c r="C13" s="10" t="s">
        <v>94</v>
      </c>
      <c r="D13" s="10" t="s">
        <v>94</v>
      </c>
      <c r="E13" s="10" t="s">
        <v>94</v>
      </c>
      <c r="F13" s="63" t="s">
        <v>94</v>
      </c>
      <c r="G13" s="81" t="s">
        <v>94</v>
      </c>
      <c r="H13" s="63" t="s">
        <v>94</v>
      </c>
      <c r="I13" s="63" t="s">
        <v>94</v>
      </c>
      <c r="J13" s="81" t="s">
        <v>94</v>
      </c>
      <c r="K13" s="63" t="s">
        <v>94</v>
      </c>
      <c r="L13" s="63" t="s">
        <v>94</v>
      </c>
      <c r="M13" s="81" t="s">
        <v>94</v>
      </c>
      <c r="N13" s="10" t="s">
        <v>94</v>
      </c>
      <c r="O13" s="121" t="s">
        <v>94</v>
      </c>
      <c r="P13" s="72" t="s">
        <v>94</v>
      </c>
    </row>
    <row r="14" spans="1:20">
      <c r="A14" s="19" t="s">
        <v>66</v>
      </c>
      <c r="B14" s="18">
        <v>3</v>
      </c>
      <c r="C14" s="18">
        <v>3</v>
      </c>
      <c r="D14" s="18">
        <v>3</v>
      </c>
      <c r="E14" s="18">
        <v>3</v>
      </c>
      <c r="F14" s="65">
        <v>3</v>
      </c>
      <c r="G14" s="83">
        <v>3</v>
      </c>
      <c r="H14" s="65">
        <v>3</v>
      </c>
      <c r="I14" s="65">
        <v>3</v>
      </c>
      <c r="J14" s="83">
        <v>3</v>
      </c>
      <c r="K14" s="65">
        <v>3</v>
      </c>
      <c r="L14" s="65">
        <v>3</v>
      </c>
      <c r="M14" s="83">
        <v>3</v>
      </c>
      <c r="N14" s="18">
        <v>3</v>
      </c>
      <c r="O14" s="123">
        <v>3</v>
      </c>
      <c r="P14" s="71">
        <v>3</v>
      </c>
      <c r="Q14" s="169" t="s">
        <v>95</v>
      </c>
      <c r="R14" s="170"/>
      <c r="S14" s="170"/>
    </row>
    <row r="15" spans="1:20">
      <c r="A15" s="19" t="s">
        <v>67</v>
      </c>
      <c r="B15" s="18">
        <v>3</v>
      </c>
      <c r="C15" s="18">
        <v>3</v>
      </c>
      <c r="D15" s="18">
        <v>3</v>
      </c>
      <c r="E15" s="18">
        <v>3</v>
      </c>
      <c r="F15" s="65">
        <v>1</v>
      </c>
      <c r="G15" s="111" t="s">
        <v>96</v>
      </c>
      <c r="H15" s="65">
        <v>1</v>
      </c>
      <c r="I15" s="65">
        <v>1</v>
      </c>
      <c r="J15" s="111" t="s">
        <v>96</v>
      </c>
      <c r="K15" s="65">
        <v>1</v>
      </c>
      <c r="L15" s="65">
        <v>1</v>
      </c>
      <c r="M15" s="111" t="s">
        <v>96</v>
      </c>
      <c r="N15" s="18">
        <v>1</v>
      </c>
      <c r="O15" s="123">
        <v>1</v>
      </c>
      <c r="P15" s="71">
        <v>3</v>
      </c>
      <c r="Q15" s="169"/>
      <c r="R15" s="170"/>
      <c r="S15" s="170"/>
    </row>
    <row r="16" spans="1:20">
      <c r="A16" s="19" t="s">
        <v>68</v>
      </c>
      <c r="B16" s="11">
        <f t="shared" ref="B16:E16" si="1">MAX(B14:B15)</f>
        <v>3</v>
      </c>
      <c r="C16" s="11">
        <f t="shared" si="1"/>
        <v>3</v>
      </c>
      <c r="D16" s="11">
        <f>MAX(D14:D15)</f>
        <v>3</v>
      </c>
      <c r="E16" s="11">
        <f t="shared" si="1"/>
        <v>3</v>
      </c>
      <c r="F16" s="66">
        <f>MAX(F14:F15)</f>
        <v>3</v>
      </c>
      <c r="G16" s="84"/>
      <c r="H16" s="66"/>
      <c r="I16" s="66"/>
      <c r="J16" s="84"/>
      <c r="K16" s="66"/>
      <c r="L16" s="66"/>
      <c r="M16" s="84"/>
      <c r="N16" s="11"/>
      <c r="O16" s="124"/>
      <c r="P16" s="74">
        <f>MAX(P14:P15)</f>
        <v>3</v>
      </c>
    </row>
    <row r="17" spans="1:16">
      <c r="A17" s="19" t="s">
        <v>69</v>
      </c>
      <c r="B17" s="18" t="s">
        <v>97</v>
      </c>
      <c r="C17" s="18" t="s">
        <v>97</v>
      </c>
      <c r="D17" s="18" t="s">
        <v>97</v>
      </c>
      <c r="E17" s="18" t="s">
        <v>97</v>
      </c>
      <c r="F17" s="65" t="s">
        <v>97</v>
      </c>
      <c r="G17" s="83" t="s">
        <v>97</v>
      </c>
      <c r="H17" s="65" t="s">
        <v>97</v>
      </c>
      <c r="I17" s="65" t="s">
        <v>97</v>
      </c>
      <c r="J17" s="83" t="s">
        <v>97</v>
      </c>
      <c r="K17" s="65" t="s">
        <v>97</v>
      </c>
      <c r="L17" s="65" t="s">
        <v>97</v>
      </c>
      <c r="M17" s="83" t="s">
        <v>97</v>
      </c>
      <c r="N17" s="18" t="s">
        <v>97</v>
      </c>
      <c r="O17" s="123" t="s">
        <v>97</v>
      </c>
      <c r="P17" s="71" t="s">
        <v>97</v>
      </c>
    </row>
    <row r="18" spans="1:16" ht="30">
      <c r="A18" s="11" t="s">
        <v>213</v>
      </c>
      <c r="B18" s="46" t="str">
        <f>IF($E$2="Yes","Not cumulative with RELEASE","Not cumulative with OPS and RELEASE")</f>
        <v>Not cumulative with RELEASE</v>
      </c>
      <c r="C18" s="46" t="str">
        <f>IF($E$2="Yes","Not cumulative with RELEASE","Not cumulative with OPS and RELEASE")</f>
        <v>Not cumulative with RELEASE</v>
      </c>
      <c r="D18" s="46" t="str">
        <f>IF($E$2="Yes","None","Not cumulative with DEV and DEV ADMIN")</f>
        <v>None</v>
      </c>
      <c r="E18" s="13" t="s">
        <v>98</v>
      </c>
      <c r="F18" s="65" t="s">
        <v>97</v>
      </c>
      <c r="G18" s="83" t="s">
        <v>99</v>
      </c>
      <c r="H18" s="65" t="s">
        <v>99</v>
      </c>
      <c r="I18" s="65" t="s">
        <v>99</v>
      </c>
      <c r="J18" s="83" t="s">
        <v>99</v>
      </c>
      <c r="K18" s="65" t="s">
        <v>99</v>
      </c>
      <c r="L18" s="65" t="s">
        <v>99</v>
      </c>
      <c r="M18" s="83" t="s">
        <v>99</v>
      </c>
      <c r="N18" s="18" t="s">
        <v>99</v>
      </c>
      <c r="O18" s="123" t="s">
        <v>99</v>
      </c>
      <c r="P18" s="70" t="s">
        <v>100</v>
      </c>
    </row>
    <row r="19" spans="1:16">
      <c r="A19" s="20" t="s">
        <v>101</v>
      </c>
      <c r="B19" s="20"/>
      <c r="C19" s="20"/>
      <c r="D19" s="20"/>
      <c r="E19" s="20"/>
      <c r="F19" s="67"/>
      <c r="G19" s="85"/>
      <c r="H19" s="67"/>
      <c r="I19" s="67"/>
      <c r="J19" s="85"/>
      <c r="K19" s="67"/>
      <c r="L19" s="67"/>
      <c r="M19" s="85"/>
      <c r="N19" s="20"/>
      <c r="O19" s="125"/>
      <c r="P19" s="75"/>
    </row>
    <row r="20" spans="1:16">
      <c r="A20" s="19" t="s">
        <v>102</v>
      </c>
      <c r="B20" s="18" t="s">
        <v>103</v>
      </c>
      <c r="C20" s="18" t="s">
        <v>103</v>
      </c>
      <c r="D20" s="18" t="s">
        <v>103</v>
      </c>
      <c r="E20" s="38" t="s">
        <v>104</v>
      </c>
      <c r="F20" s="68" t="s">
        <v>104</v>
      </c>
      <c r="G20" s="111" t="s">
        <v>103</v>
      </c>
      <c r="H20" s="109" t="s">
        <v>103</v>
      </c>
      <c r="I20" s="109" t="s">
        <v>103</v>
      </c>
      <c r="J20" s="108" t="s">
        <v>104</v>
      </c>
      <c r="K20" s="114" t="s">
        <v>104</v>
      </c>
      <c r="L20" s="68" t="s">
        <v>104</v>
      </c>
      <c r="M20" s="108" t="s">
        <v>104</v>
      </c>
      <c r="N20" s="116" t="s">
        <v>104</v>
      </c>
      <c r="O20" s="126" t="s">
        <v>104</v>
      </c>
      <c r="P20" s="71" t="s">
        <v>103</v>
      </c>
    </row>
    <row r="21" spans="1:16">
      <c r="A21" s="19" t="s">
        <v>105</v>
      </c>
      <c r="B21" s="38" t="s">
        <v>104</v>
      </c>
      <c r="C21" s="18" t="s">
        <v>103</v>
      </c>
      <c r="D21" s="18" t="s">
        <v>103</v>
      </c>
      <c r="E21" s="38" t="s">
        <v>104</v>
      </c>
      <c r="F21" s="68" t="s">
        <v>104</v>
      </c>
      <c r="G21" s="86" t="s">
        <v>104</v>
      </c>
      <c r="H21" s="68" t="s">
        <v>104</v>
      </c>
      <c r="I21" s="68" t="s">
        <v>104</v>
      </c>
      <c r="J21" s="110" t="s">
        <v>103</v>
      </c>
      <c r="K21" s="115" t="s">
        <v>103</v>
      </c>
      <c r="L21" s="109" t="s">
        <v>103</v>
      </c>
      <c r="M21" s="108" t="s">
        <v>104</v>
      </c>
      <c r="N21" s="116" t="s">
        <v>104</v>
      </c>
      <c r="O21" s="112" t="s">
        <v>104</v>
      </c>
      <c r="P21" s="71" t="s">
        <v>103</v>
      </c>
    </row>
    <row r="22" spans="1:16">
      <c r="A22" s="19" t="s">
        <v>106</v>
      </c>
      <c r="B22" s="38" t="s">
        <v>104</v>
      </c>
      <c r="C22" s="38" t="s">
        <v>104</v>
      </c>
      <c r="D22" s="38" t="s">
        <v>104</v>
      </c>
      <c r="E22" s="18" t="s">
        <v>103</v>
      </c>
      <c r="F22" s="68" t="s">
        <v>104</v>
      </c>
      <c r="G22" s="86" t="s">
        <v>104</v>
      </c>
      <c r="H22" s="68" t="s">
        <v>104</v>
      </c>
      <c r="I22" s="68" t="s">
        <v>104</v>
      </c>
      <c r="J22" s="108" t="s">
        <v>104</v>
      </c>
      <c r="K22" s="114" t="s">
        <v>104</v>
      </c>
      <c r="L22" s="68" t="s">
        <v>104</v>
      </c>
      <c r="M22" s="110" t="s">
        <v>103</v>
      </c>
      <c r="N22" s="117" t="s">
        <v>103</v>
      </c>
      <c r="O22" s="113" t="s">
        <v>103</v>
      </c>
      <c r="P22" s="76" t="s">
        <v>104</v>
      </c>
    </row>
    <row r="23" spans="1:16">
      <c r="A23" s="21" t="s">
        <v>107</v>
      </c>
      <c r="B23" s="18" t="s">
        <v>103</v>
      </c>
      <c r="C23" s="18" t="s">
        <v>103</v>
      </c>
      <c r="D23" s="39" t="s">
        <v>108</v>
      </c>
      <c r="E23" s="39" t="s">
        <v>108</v>
      </c>
      <c r="F23" s="88" t="s">
        <v>108</v>
      </c>
      <c r="G23" s="86" t="s">
        <v>104</v>
      </c>
      <c r="H23" s="68" t="s">
        <v>104</v>
      </c>
      <c r="I23" s="68" t="s">
        <v>104</v>
      </c>
      <c r="J23" s="86" t="s">
        <v>104</v>
      </c>
      <c r="K23" s="68" t="s">
        <v>104</v>
      </c>
      <c r="L23" s="68" t="s">
        <v>104</v>
      </c>
      <c r="M23" s="86" t="s">
        <v>104</v>
      </c>
      <c r="N23" s="38" t="s">
        <v>104</v>
      </c>
      <c r="O23" s="126" t="s">
        <v>104</v>
      </c>
      <c r="P23" s="71" t="s">
        <v>103</v>
      </c>
    </row>
    <row r="24" spans="1:16">
      <c r="A24" s="21" t="s">
        <v>109</v>
      </c>
      <c r="B24" s="39" t="s">
        <v>108</v>
      </c>
      <c r="C24" s="39" t="s">
        <v>108</v>
      </c>
      <c r="D24" s="18" t="s">
        <v>103</v>
      </c>
      <c r="E24" s="39" t="s">
        <v>108</v>
      </c>
      <c r="F24" s="88" t="s">
        <v>108</v>
      </c>
      <c r="G24" s="86" t="s">
        <v>104</v>
      </c>
      <c r="H24" s="68" t="s">
        <v>104</v>
      </c>
      <c r="I24" s="68" t="s">
        <v>104</v>
      </c>
      <c r="J24" s="86" t="s">
        <v>104</v>
      </c>
      <c r="K24" s="68" t="s">
        <v>104</v>
      </c>
      <c r="L24" s="68" t="s">
        <v>104</v>
      </c>
      <c r="M24" s="86" t="s">
        <v>104</v>
      </c>
      <c r="N24" s="38" t="s">
        <v>104</v>
      </c>
      <c r="O24" s="126" t="s">
        <v>104</v>
      </c>
      <c r="P24" s="71" t="s">
        <v>103</v>
      </c>
    </row>
    <row r="25" spans="1:16">
      <c r="A25" s="21" t="s">
        <v>110</v>
      </c>
      <c r="B25" s="18" t="s">
        <v>103</v>
      </c>
      <c r="C25" s="18" t="s">
        <v>103</v>
      </c>
      <c r="D25" s="39" t="s">
        <v>108</v>
      </c>
      <c r="E25" s="39" t="s">
        <v>108</v>
      </c>
      <c r="F25" s="88" t="s">
        <v>108</v>
      </c>
      <c r="G25" s="86" t="s">
        <v>104</v>
      </c>
      <c r="H25" s="68" t="s">
        <v>104</v>
      </c>
      <c r="I25" s="68" t="s">
        <v>104</v>
      </c>
      <c r="J25" s="86" t="s">
        <v>104</v>
      </c>
      <c r="K25" s="68" t="s">
        <v>104</v>
      </c>
      <c r="L25" s="68" t="s">
        <v>104</v>
      </c>
      <c r="M25" s="86" t="s">
        <v>104</v>
      </c>
      <c r="N25" s="38" t="s">
        <v>104</v>
      </c>
      <c r="O25" s="126" t="s">
        <v>104</v>
      </c>
      <c r="P25" s="71" t="s">
        <v>103</v>
      </c>
    </row>
    <row r="26" spans="1:16">
      <c r="A26" s="21" t="s">
        <v>111</v>
      </c>
      <c r="B26" s="18" t="s">
        <v>103</v>
      </c>
      <c r="C26" s="18" t="s">
        <v>103</v>
      </c>
      <c r="D26" s="18" t="s">
        <v>103</v>
      </c>
      <c r="E26" s="39" t="s">
        <v>108</v>
      </c>
      <c r="F26" s="88" t="s">
        <v>108</v>
      </c>
      <c r="G26" s="86" t="s">
        <v>104</v>
      </c>
      <c r="H26" s="68" t="s">
        <v>104</v>
      </c>
      <c r="I26" s="68" t="s">
        <v>104</v>
      </c>
      <c r="J26" s="86" t="s">
        <v>104</v>
      </c>
      <c r="K26" s="68" t="s">
        <v>104</v>
      </c>
      <c r="L26" s="68" t="s">
        <v>104</v>
      </c>
      <c r="M26" s="86" t="s">
        <v>104</v>
      </c>
      <c r="N26" s="38" t="s">
        <v>104</v>
      </c>
      <c r="O26" s="126" t="s">
        <v>104</v>
      </c>
      <c r="P26" s="71" t="s">
        <v>103</v>
      </c>
    </row>
    <row r="27" spans="1:16">
      <c r="A27" s="21" t="s">
        <v>112</v>
      </c>
      <c r="B27" s="40" t="s">
        <v>113</v>
      </c>
      <c r="C27" s="40" t="s">
        <v>113</v>
      </c>
      <c r="D27" s="18" t="s">
        <v>103</v>
      </c>
      <c r="E27" s="39" t="s">
        <v>108</v>
      </c>
      <c r="F27" s="88" t="s">
        <v>108</v>
      </c>
      <c r="G27" s="86" t="s">
        <v>104</v>
      </c>
      <c r="H27" s="68" t="s">
        <v>104</v>
      </c>
      <c r="I27" s="68" t="s">
        <v>104</v>
      </c>
      <c r="J27" s="86" t="s">
        <v>104</v>
      </c>
      <c r="K27" s="68" t="s">
        <v>104</v>
      </c>
      <c r="L27" s="68" t="s">
        <v>104</v>
      </c>
      <c r="M27" s="86" t="s">
        <v>104</v>
      </c>
      <c r="N27" s="38" t="s">
        <v>104</v>
      </c>
      <c r="O27" s="126" t="s">
        <v>104</v>
      </c>
      <c r="P27" s="71" t="s">
        <v>103</v>
      </c>
    </row>
    <row r="28" spans="1:16">
      <c r="A28" s="21" t="s">
        <v>114</v>
      </c>
      <c r="B28" s="39" t="s">
        <v>108</v>
      </c>
      <c r="C28" s="39" t="s">
        <v>108</v>
      </c>
      <c r="D28" s="39" t="s">
        <v>108</v>
      </c>
      <c r="E28" s="18" t="s">
        <v>103</v>
      </c>
      <c r="F28" s="88" t="s">
        <v>108</v>
      </c>
      <c r="G28" s="86" t="s">
        <v>104</v>
      </c>
      <c r="H28" s="68" t="s">
        <v>104</v>
      </c>
      <c r="I28" s="68" t="s">
        <v>104</v>
      </c>
      <c r="J28" s="86" t="s">
        <v>104</v>
      </c>
      <c r="K28" s="68" t="s">
        <v>104</v>
      </c>
      <c r="L28" s="68" t="s">
        <v>104</v>
      </c>
      <c r="M28" s="86" t="s">
        <v>104</v>
      </c>
      <c r="N28" s="38" t="s">
        <v>104</v>
      </c>
      <c r="O28" s="126" t="s">
        <v>104</v>
      </c>
      <c r="P28" s="77" t="s">
        <v>108</v>
      </c>
    </row>
    <row r="29" spans="1:16">
      <c r="A29" s="20" t="s">
        <v>115</v>
      </c>
      <c r="B29" s="20"/>
      <c r="C29" s="20"/>
      <c r="D29" s="20"/>
      <c r="E29" s="20"/>
      <c r="F29" s="67"/>
      <c r="G29" s="85"/>
      <c r="H29" s="67"/>
      <c r="I29" s="67"/>
      <c r="J29" s="85"/>
      <c r="K29" s="67"/>
      <c r="L29" s="67"/>
      <c r="M29" s="85"/>
      <c r="N29" s="20"/>
      <c r="O29" s="125"/>
      <c r="P29" s="75"/>
    </row>
    <row r="30" spans="1:16">
      <c r="A30" s="19" t="s">
        <v>116</v>
      </c>
      <c r="B30" s="18" t="s">
        <v>117</v>
      </c>
      <c r="C30" s="18" t="s">
        <v>117</v>
      </c>
      <c r="D30" s="18" t="s">
        <v>117</v>
      </c>
      <c r="E30" s="18" t="s">
        <v>117</v>
      </c>
      <c r="F30" s="65" t="s">
        <v>118</v>
      </c>
      <c r="G30" s="83" t="s">
        <v>117</v>
      </c>
      <c r="H30" s="65" t="s">
        <v>118</v>
      </c>
      <c r="I30" s="65" t="s">
        <v>118</v>
      </c>
      <c r="J30" s="83" t="s">
        <v>117</v>
      </c>
      <c r="K30" s="65" t="s">
        <v>118</v>
      </c>
      <c r="L30" s="65" t="s">
        <v>118</v>
      </c>
      <c r="M30" s="83" t="s">
        <v>117</v>
      </c>
      <c r="N30" s="18" t="s">
        <v>118</v>
      </c>
      <c r="O30" s="123" t="s">
        <v>118</v>
      </c>
      <c r="P30" s="71" t="s">
        <v>119</v>
      </c>
    </row>
    <row r="31" spans="1:16" ht="71.45" customHeight="1">
      <c r="A31" s="13" t="s">
        <v>174</v>
      </c>
      <c r="B31" s="92" t="s">
        <v>166</v>
      </c>
      <c r="C31" s="92" t="s">
        <v>166</v>
      </c>
      <c r="D31" s="92" t="s">
        <v>166</v>
      </c>
      <c r="E31" s="22" t="s">
        <v>175</v>
      </c>
      <c r="F31" s="93" t="s">
        <v>166</v>
      </c>
      <c r="G31" s="91" t="s">
        <v>176</v>
      </c>
      <c r="H31" s="93" t="s">
        <v>176</v>
      </c>
      <c r="I31" s="93" t="s">
        <v>176</v>
      </c>
      <c r="J31" s="91" t="s">
        <v>176</v>
      </c>
      <c r="K31" s="93" t="s">
        <v>176</v>
      </c>
      <c r="L31" s="93" t="s">
        <v>176</v>
      </c>
      <c r="M31" s="91" t="s">
        <v>176</v>
      </c>
      <c r="N31" s="92" t="s">
        <v>176</v>
      </c>
      <c r="O31" s="127" t="s">
        <v>176</v>
      </c>
      <c r="P31" s="70" t="s">
        <v>120</v>
      </c>
    </row>
    <row r="32" spans="1:16" ht="88.5" customHeight="1">
      <c r="A32" s="13" t="s">
        <v>167</v>
      </c>
      <c r="B32" s="13" t="s">
        <v>181</v>
      </c>
      <c r="C32" s="13" t="s">
        <v>180</v>
      </c>
      <c r="D32" s="13" t="s">
        <v>179</v>
      </c>
      <c r="E32" s="13" t="s">
        <v>177</v>
      </c>
      <c r="F32" s="62" t="s">
        <v>178</v>
      </c>
      <c r="G32" s="80" t="s">
        <v>168</v>
      </c>
      <c r="H32" s="62" t="s">
        <v>169</v>
      </c>
      <c r="I32" s="62" t="s">
        <v>228</v>
      </c>
      <c r="J32" s="80" t="s">
        <v>170</v>
      </c>
      <c r="K32" s="62" t="s">
        <v>171</v>
      </c>
      <c r="L32" s="62" t="s">
        <v>229</v>
      </c>
      <c r="M32" s="80" t="s">
        <v>172</v>
      </c>
      <c r="N32" s="13" t="s">
        <v>173</v>
      </c>
      <c r="O32" s="120" t="s">
        <v>230</v>
      </c>
      <c r="P32" s="70" t="s">
        <v>206</v>
      </c>
    </row>
    <row r="33" spans="1:20">
      <c r="A33" s="20" t="s">
        <v>121</v>
      </c>
      <c r="B33" s="20"/>
      <c r="C33" s="20"/>
      <c r="D33" s="20"/>
      <c r="E33" s="20"/>
      <c r="F33" s="67"/>
      <c r="G33" s="85"/>
      <c r="H33" s="67"/>
      <c r="I33" s="67"/>
      <c r="J33" s="85"/>
      <c r="K33" s="67"/>
      <c r="L33" s="67"/>
      <c r="M33" s="85"/>
      <c r="N33" s="20"/>
      <c r="O33" s="125"/>
      <c r="P33" s="75"/>
    </row>
    <row r="34" spans="1:20" ht="15" customHeight="1">
      <c r="A34" s="18" t="s">
        <v>122</v>
      </c>
      <c r="B34" s="44" t="s">
        <v>123</v>
      </c>
      <c r="C34" s="38" t="s">
        <v>124</v>
      </c>
      <c r="D34" s="37" t="s">
        <v>125</v>
      </c>
      <c r="E34" s="37" t="s">
        <v>125</v>
      </c>
      <c r="F34" s="89" t="s">
        <v>125</v>
      </c>
      <c r="G34" s="86" t="s">
        <v>104</v>
      </c>
      <c r="H34" s="68" t="s">
        <v>104</v>
      </c>
      <c r="I34" s="68" t="s">
        <v>104</v>
      </c>
      <c r="J34" s="86" t="s">
        <v>104</v>
      </c>
      <c r="K34" s="68" t="s">
        <v>104</v>
      </c>
      <c r="L34" s="68" t="s">
        <v>104</v>
      </c>
      <c r="M34" s="86" t="s">
        <v>104</v>
      </c>
      <c r="N34" s="38" t="s">
        <v>104</v>
      </c>
      <c r="O34" s="126" t="s">
        <v>104</v>
      </c>
      <c r="P34" s="76" t="s">
        <v>124</v>
      </c>
      <c r="Q34" s="171" t="s">
        <v>126</v>
      </c>
      <c r="R34" s="172"/>
      <c r="S34" s="172"/>
      <c r="T34" s="41"/>
    </row>
    <row r="35" spans="1:20">
      <c r="A35" s="18" t="s">
        <v>127</v>
      </c>
      <c r="B35" s="37" t="s">
        <v>125</v>
      </c>
      <c r="C35" s="37" t="s">
        <v>125</v>
      </c>
      <c r="D35" s="38" t="s">
        <v>124</v>
      </c>
      <c r="E35" s="37" t="s">
        <v>125</v>
      </c>
      <c r="F35" s="89" t="s">
        <v>125</v>
      </c>
      <c r="G35" s="86" t="s">
        <v>104</v>
      </c>
      <c r="H35" s="68" t="s">
        <v>104</v>
      </c>
      <c r="I35" s="68" t="s">
        <v>104</v>
      </c>
      <c r="J35" s="86" t="s">
        <v>104</v>
      </c>
      <c r="K35" s="68" t="s">
        <v>104</v>
      </c>
      <c r="L35" s="68" t="s">
        <v>104</v>
      </c>
      <c r="M35" s="86" t="s">
        <v>104</v>
      </c>
      <c r="N35" s="38" t="s">
        <v>104</v>
      </c>
      <c r="O35" s="126" t="s">
        <v>104</v>
      </c>
      <c r="P35" s="76" t="s">
        <v>124</v>
      </c>
      <c r="Q35" s="171"/>
      <c r="R35" s="172"/>
      <c r="S35" s="172"/>
      <c r="T35" s="41"/>
    </row>
    <row r="36" spans="1:20">
      <c r="A36" s="18" t="s">
        <v>128</v>
      </c>
      <c r="B36" s="44" t="s">
        <v>123</v>
      </c>
      <c r="C36" s="38" t="s">
        <v>124</v>
      </c>
      <c r="D36" s="37" t="s">
        <v>125</v>
      </c>
      <c r="E36" s="37" t="s">
        <v>125</v>
      </c>
      <c r="F36" s="89" t="s">
        <v>125</v>
      </c>
      <c r="G36" s="86" t="s">
        <v>104</v>
      </c>
      <c r="H36" s="68" t="s">
        <v>104</v>
      </c>
      <c r="I36" s="68" t="s">
        <v>104</v>
      </c>
      <c r="J36" s="86" t="s">
        <v>104</v>
      </c>
      <c r="K36" s="68" t="s">
        <v>104</v>
      </c>
      <c r="L36" s="68" t="s">
        <v>104</v>
      </c>
      <c r="M36" s="86" t="s">
        <v>104</v>
      </c>
      <c r="N36" s="38" t="s">
        <v>104</v>
      </c>
      <c r="O36" s="126" t="s">
        <v>104</v>
      </c>
      <c r="P36" s="76" t="s">
        <v>124</v>
      </c>
      <c r="Q36" s="171"/>
      <c r="R36" s="172"/>
      <c r="S36" s="172"/>
      <c r="T36" s="41"/>
    </row>
    <row r="37" spans="1:20">
      <c r="A37" s="18" t="s">
        <v>129</v>
      </c>
      <c r="B37" s="44" t="s">
        <v>123</v>
      </c>
      <c r="C37" s="44" t="s">
        <v>123</v>
      </c>
      <c r="D37" s="38" t="s">
        <v>124</v>
      </c>
      <c r="E37" s="37" t="s">
        <v>125</v>
      </c>
      <c r="F37" s="89" t="s">
        <v>125</v>
      </c>
      <c r="G37" s="86" t="s">
        <v>104</v>
      </c>
      <c r="H37" s="68" t="s">
        <v>104</v>
      </c>
      <c r="I37" s="68" t="s">
        <v>104</v>
      </c>
      <c r="J37" s="86" t="s">
        <v>104</v>
      </c>
      <c r="K37" s="68" t="s">
        <v>104</v>
      </c>
      <c r="L37" s="68" t="s">
        <v>104</v>
      </c>
      <c r="M37" s="86" t="s">
        <v>104</v>
      </c>
      <c r="N37" s="38" t="s">
        <v>104</v>
      </c>
      <c r="O37" s="126" t="s">
        <v>104</v>
      </c>
      <c r="P37" s="76" t="s">
        <v>124</v>
      </c>
      <c r="Q37" s="171"/>
      <c r="R37" s="172"/>
      <c r="S37" s="172"/>
      <c r="T37" s="41"/>
    </row>
    <row r="38" spans="1:20">
      <c r="A38" s="18" t="s">
        <v>130</v>
      </c>
      <c r="B38" s="37" t="s">
        <v>131</v>
      </c>
      <c r="C38" s="44" t="s">
        <v>123</v>
      </c>
      <c r="D38" s="38" t="s">
        <v>124</v>
      </c>
      <c r="E38" s="37" t="s">
        <v>125</v>
      </c>
      <c r="F38" s="89" t="s">
        <v>125</v>
      </c>
      <c r="G38" s="86" t="s">
        <v>104</v>
      </c>
      <c r="H38" s="68" t="s">
        <v>104</v>
      </c>
      <c r="I38" s="68" t="s">
        <v>104</v>
      </c>
      <c r="J38" s="86" t="s">
        <v>104</v>
      </c>
      <c r="K38" s="68" t="s">
        <v>104</v>
      </c>
      <c r="L38" s="68" t="s">
        <v>104</v>
      </c>
      <c r="M38" s="86" t="s">
        <v>104</v>
      </c>
      <c r="N38" s="38" t="s">
        <v>104</v>
      </c>
      <c r="O38" s="126" t="s">
        <v>104</v>
      </c>
      <c r="P38" s="76" t="s">
        <v>124</v>
      </c>
      <c r="Q38" s="171"/>
      <c r="R38" s="172"/>
      <c r="S38" s="172"/>
      <c r="T38" s="41"/>
    </row>
    <row r="39" spans="1:20">
      <c r="A39" s="18" t="s">
        <v>132</v>
      </c>
      <c r="B39" s="37" t="s">
        <v>125</v>
      </c>
      <c r="C39" s="37" t="s">
        <v>125</v>
      </c>
      <c r="D39" s="37" t="s">
        <v>125</v>
      </c>
      <c r="E39" s="38" t="s">
        <v>124</v>
      </c>
      <c r="F39" s="89" t="s">
        <v>125</v>
      </c>
      <c r="G39" s="86" t="s">
        <v>104</v>
      </c>
      <c r="H39" s="68" t="s">
        <v>104</v>
      </c>
      <c r="I39" s="68" t="s">
        <v>104</v>
      </c>
      <c r="J39" s="86" t="s">
        <v>104</v>
      </c>
      <c r="K39" s="68" t="s">
        <v>104</v>
      </c>
      <c r="L39" s="68" t="s">
        <v>104</v>
      </c>
      <c r="M39" s="86" t="s">
        <v>104</v>
      </c>
      <c r="N39" s="38" t="s">
        <v>104</v>
      </c>
      <c r="O39" s="126" t="s">
        <v>104</v>
      </c>
      <c r="P39" s="78" t="s">
        <v>125</v>
      </c>
      <c r="Q39" s="171"/>
      <c r="R39" s="172"/>
      <c r="S39" s="172"/>
      <c r="T39" s="41"/>
    </row>
    <row r="40" spans="1:20">
      <c r="A40" s="20" t="s">
        <v>133</v>
      </c>
      <c r="B40" s="20"/>
      <c r="C40" s="20"/>
      <c r="D40" s="20"/>
      <c r="E40" s="20"/>
      <c r="F40" s="67"/>
      <c r="G40" s="85"/>
      <c r="H40" s="67"/>
      <c r="I40" s="67"/>
      <c r="J40" s="85"/>
      <c r="K40" s="67"/>
      <c r="L40" s="67"/>
      <c r="M40" s="85"/>
      <c r="N40" s="20"/>
      <c r="O40" s="125"/>
      <c r="P40" s="75"/>
    </row>
    <row r="41" spans="1:20" ht="15" customHeight="1">
      <c r="A41" s="18" t="s">
        <v>134</v>
      </c>
      <c r="B41" s="44" t="s">
        <v>123</v>
      </c>
      <c r="C41" s="38" t="s">
        <v>124</v>
      </c>
      <c r="D41" s="37" t="s">
        <v>125</v>
      </c>
      <c r="E41" s="37" t="s">
        <v>125</v>
      </c>
      <c r="F41" s="89" t="s">
        <v>125</v>
      </c>
      <c r="G41" s="86" t="s">
        <v>104</v>
      </c>
      <c r="H41" s="68" t="s">
        <v>104</v>
      </c>
      <c r="I41" s="68" t="s">
        <v>104</v>
      </c>
      <c r="J41" s="86" t="s">
        <v>104</v>
      </c>
      <c r="K41" s="68" t="s">
        <v>104</v>
      </c>
      <c r="L41" s="68" t="s">
        <v>104</v>
      </c>
      <c r="M41" s="86" t="s">
        <v>104</v>
      </c>
      <c r="N41" s="38" t="s">
        <v>104</v>
      </c>
      <c r="O41" s="126" t="s">
        <v>104</v>
      </c>
      <c r="P41" s="76" t="s">
        <v>124</v>
      </c>
    </row>
    <row r="42" spans="1:20">
      <c r="A42" s="18" t="s">
        <v>135</v>
      </c>
      <c r="B42" s="37" t="s">
        <v>125</v>
      </c>
      <c r="C42" s="37" t="s">
        <v>125</v>
      </c>
      <c r="D42" s="38" t="s">
        <v>124</v>
      </c>
      <c r="E42" s="37" t="s">
        <v>125</v>
      </c>
      <c r="F42" s="89" t="s">
        <v>125</v>
      </c>
      <c r="G42" s="86" t="s">
        <v>104</v>
      </c>
      <c r="H42" s="68" t="s">
        <v>104</v>
      </c>
      <c r="I42" s="68" t="s">
        <v>104</v>
      </c>
      <c r="J42" s="86" t="s">
        <v>104</v>
      </c>
      <c r="K42" s="68" t="s">
        <v>104</v>
      </c>
      <c r="L42" s="68" t="s">
        <v>104</v>
      </c>
      <c r="M42" s="86" t="s">
        <v>104</v>
      </c>
      <c r="N42" s="38" t="s">
        <v>104</v>
      </c>
      <c r="O42" s="126" t="s">
        <v>104</v>
      </c>
      <c r="P42" s="76" t="s">
        <v>124</v>
      </c>
    </row>
    <row r="43" spans="1:20" ht="15" customHeight="1">
      <c r="A43" s="20" t="s">
        <v>136</v>
      </c>
      <c r="B43" s="20"/>
      <c r="C43" s="20"/>
      <c r="D43" s="20"/>
      <c r="E43" s="20"/>
      <c r="F43" s="67"/>
      <c r="G43" s="85"/>
      <c r="H43" s="67"/>
      <c r="I43" s="67"/>
      <c r="J43" s="85"/>
      <c r="K43" s="67"/>
      <c r="L43" s="67"/>
      <c r="M43" s="85"/>
      <c r="N43" s="20"/>
      <c r="O43" s="125"/>
      <c r="P43" s="75"/>
      <c r="Q43" s="171" t="s">
        <v>137</v>
      </c>
      <c r="R43" s="172"/>
      <c r="S43" s="172"/>
      <c r="T43" s="41"/>
    </row>
    <row r="44" spans="1:20">
      <c r="A44" s="19" t="s">
        <v>138</v>
      </c>
      <c r="B44" s="42"/>
      <c r="C44" s="18" t="s">
        <v>103</v>
      </c>
      <c r="D44" s="18"/>
      <c r="E44" s="18"/>
      <c r="F44" s="65"/>
      <c r="G44" s="83"/>
      <c r="H44" s="65"/>
      <c r="I44" s="65"/>
      <c r="J44" s="83"/>
      <c r="K44" s="65"/>
      <c r="L44" s="65"/>
      <c r="M44" s="83"/>
      <c r="N44" s="18"/>
      <c r="O44" s="123"/>
      <c r="P44" s="71" t="s">
        <v>103</v>
      </c>
      <c r="Q44" s="171"/>
      <c r="R44" s="172"/>
      <c r="S44" s="172"/>
      <c r="T44" s="41"/>
    </row>
    <row r="45" spans="1:20">
      <c r="A45" s="19" t="s">
        <v>139</v>
      </c>
      <c r="B45" s="18" t="s">
        <v>103</v>
      </c>
      <c r="C45" s="18" t="s">
        <v>103</v>
      </c>
      <c r="D45" s="18"/>
      <c r="E45" s="18"/>
      <c r="F45" s="65"/>
      <c r="G45" s="83"/>
      <c r="H45" s="65"/>
      <c r="I45" s="65"/>
      <c r="J45" s="83"/>
      <c r="K45" s="65"/>
      <c r="L45" s="65"/>
      <c r="M45" s="83"/>
      <c r="N45" s="18"/>
      <c r="O45" s="123"/>
      <c r="P45" s="71" t="s">
        <v>103</v>
      </c>
      <c r="Q45" s="171"/>
      <c r="R45" s="172"/>
      <c r="S45" s="172"/>
      <c r="T45" s="41"/>
    </row>
    <row r="46" spans="1:20">
      <c r="A46" s="19" t="s">
        <v>140</v>
      </c>
      <c r="B46" s="42"/>
      <c r="C46" s="18" t="s">
        <v>103</v>
      </c>
      <c r="D46" s="18"/>
      <c r="E46" s="18"/>
      <c r="F46" s="65"/>
      <c r="G46" s="83"/>
      <c r="H46" s="65"/>
      <c r="I46" s="65"/>
      <c r="J46" s="83"/>
      <c r="K46" s="65"/>
      <c r="L46" s="65"/>
      <c r="M46" s="83"/>
      <c r="N46" s="18"/>
      <c r="O46" s="123"/>
      <c r="P46" s="71" t="s">
        <v>103</v>
      </c>
      <c r="Q46" s="171"/>
      <c r="R46" s="172"/>
      <c r="S46" s="172"/>
      <c r="T46" s="41"/>
    </row>
    <row r="47" spans="1:20">
      <c r="A47" s="19" t="s">
        <v>141</v>
      </c>
      <c r="B47" s="18" t="s">
        <v>103</v>
      </c>
      <c r="C47" s="18" t="s">
        <v>103</v>
      </c>
      <c r="D47" s="18"/>
      <c r="E47" s="18"/>
      <c r="F47" s="65"/>
      <c r="G47" s="83"/>
      <c r="H47" s="65"/>
      <c r="I47" s="65"/>
      <c r="J47" s="83"/>
      <c r="K47" s="65"/>
      <c r="L47" s="65"/>
      <c r="M47" s="83"/>
      <c r="N47" s="18"/>
      <c r="O47" s="123"/>
      <c r="P47" s="71" t="s">
        <v>103</v>
      </c>
      <c r="Q47" s="171"/>
      <c r="R47" s="172"/>
      <c r="S47" s="172"/>
    </row>
    <row r="48" spans="1:20">
      <c r="A48" s="19" t="s">
        <v>142</v>
      </c>
      <c r="B48" s="18"/>
      <c r="C48" s="18"/>
      <c r="D48" s="18" t="s">
        <v>103</v>
      </c>
      <c r="E48" s="18"/>
      <c r="F48" s="65"/>
      <c r="G48" s="83"/>
      <c r="H48" s="65"/>
      <c r="I48" s="65"/>
      <c r="J48" s="83"/>
      <c r="K48" s="65"/>
      <c r="L48" s="65"/>
      <c r="M48" s="83"/>
      <c r="N48" s="18"/>
      <c r="O48" s="123"/>
      <c r="P48" s="71" t="s">
        <v>103</v>
      </c>
    </row>
    <row r="49" spans="1:16">
      <c r="A49" s="19" t="s">
        <v>143</v>
      </c>
      <c r="B49" s="18"/>
      <c r="C49" s="18"/>
      <c r="D49" s="18" t="s">
        <v>103</v>
      </c>
      <c r="E49" s="18"/>
      <c r="F49" s="65"/>
      <c r="G49" s="83"/>
      <c r="H49" s="65"/>
      <c r="I49" s="65"/>
      <c r="J49" s="83"/>
      <c r="K49" s="65"/>
      <c r="L49" s="65"/>
      <c r="M49" s="83"/>
      <c r="N49" s="18"/>
      <c r="O49" s="123"/>
      <c r="P49" s="71" t="s">
        <v>103</v>
      </c>
    </row>
    <row r="50" spans="1:16">
      <c r="A50" s="19" t="s">
        <v>144</v>
      </c>
      <c r="B50" s="18"/>
      <c r="C50" s="18"/>
      <c r="D50" s="18" t="s">
        <v>103</v>
      </c>
      <c r="E50" s="18"/>
      <c r="F50" s="65"/>
      <c r="G50" s="83"/>
      <c r="H50" s="65"/>
      <c r="I50" s="65"/>
      <c r="J50" s="83"/>
      <c r="K50" s="65"/>
      <c r="L50" s="65"/>
      <c r="M50" s="83"/>
      <c r="N50" s="18"/>
      <c r="O50" s="123"/>
      <c r="P50" s="71" t="s">
        <v>103</v>
      </c>
    </row>
    <row r="51" spans="1:16">
      <c r="A51" s="19" t="s">
        <v>145</v>
      </c>
      <c r="B51" s="18" t="s">
        <v>103</v>
      </c>
      <c r="C51" s="18" t="s">
        <v>103</v>
      </c>
      <c r="D51" s="18" t="s">
        <v>103</v>
      </c>
      <c r="E51" s="18"/>
      <c r="F51" s="65"/>
      <c r="G51" s="83"/>
      <c r="H51" s="65"/>
      <c r="I51" s="65"/>
      <c r="J51" s="83"/>
      <c r="K51" s="65"/>
      <c r="L51" s="65"/>
      <c r="M51" s="83"/>
      <c r="N51" s="18"/>
      <c r="O51" s="123"/>
      <c r="P51" s="71" t="s">
        <v>103</v>
      </c>
    </row>
    <row r="52" spans="1:16">
      <c r="A52" s="19" t="s">
        <v>146</v>
      </c>
      <c r="B52" s="18"/>
      <c r="C52" s="18"/>
      <c r="D52" s="18" t="s">
        <v>103</v>
      </c>
      <c r="E52" s="18"/>
      <c r="F52" s="65"/>
      <c r="G52" s="83"/>
      <c r="H52" s="65"/>
      <c r="I52" s="65"/>
      <c r="J52" s="83"/>
      <c r="K52" s="65"/>
      <c r="L52" s="65"/>
      <c r="M52" s="83"/>
      <c r="N52" s="18"/>
      <c r="O52" s="123"/>
      <c r="P52" s="71" t="s">
        <v>103</v>
      </c>
    </row>
    <row r="53" spans="1:16">
      <c r="A53" s="19" t="s">
        <v>147</v>
      </c>
      <c r="B53" s="42"/>
      <c r="C53" s="18" t="s">
        <v>103</v>
      </c>
      <c r="D53" s="18" t="s">
        <v>103</v>
      </c>
      <c r="E53" s="18"/>
      <c r="F53" s="65"/>
      <c r="G53" s="83"/>
      <c r="H53" s="65"/>
      <c r="I53" s="65"/>
      <c r="J53" s="83"/>
      <c r="K53" s="65"/>
      <c r="L53" s="65"/>
      <c r="M53" s="83"/>
      <c r="N53" s="18"/>
      <c r="O53" s="123"/>
      <c r="P53" s="71" t="s">
        <v>103</v>
      </c>
    </row>
    <row r="54" spans="1:16">
      <c r="A54" s="19" t="s">
        <v>148</v>
      </c>
      <c r="B54" s="18"/>
      <c r="C54" s="18"/>
      <c r="D54" s="18"/>
      <c r="E54" s="18" t="s">
        <v>103</v>
      </c>
      <c r="F54" s="65"/>
      <c r="G54" s="83"/>
      <c r="H54" s="65"/>
      <c r="I54" s="65"/>
      <c r="J54" s="83"/>
      <c r="K54" s="65"/>
      <c r="L54" s="65"/>
      <c r="M54" s="83"/>
      <c r="N54" s="18"/>
      <c r="O54" s="123"/>
      <c r="P54" s="71"/>
    </row>
    <row r="55" spans="1:16">
      <c r="A55" s="19" t="s">
        <v>149</v>
      </c>
      <c r="B55" s="18"/>
      <c r="C55" s="18"/>
      <c r="D55" s="18"/>
      <c r="E55" s="18" t="s">
        <v>103</v>
      </c>
      <c r="F55" s="65"/>
      <c r="G55" s="83"/>
      <c r="H55" s="65"/>
      <c r="I55" s="65"/>
      <c r="J55" s="83"/>
      <c r="K55" s="65"/>
      <c r="L55" s="65"/>
      <c r="M55" s="83"/>
      <c r="N55" s="18"/>
      <c r="O55" s="123"/>
      <c r="P55" s="71"/>
    </row>
    <row r="56" spans="1:16">
      <c r="A56" s="19" t="s">
        <v>150</v>
      </c>
      <c r="B56" s="18"/>
      <c r="C56" s="18"/>
      <c r="D56" s="18"/>
      <c r="E56" s="18"/>
      <c r="F56" s="65"/>
      <c r="G56" s="83"/>
      <c r="H56" s="65" t="s">
        <v>103</v>
      </c>
      <c r="I56" s="65" t="s">
        <v>103</v>
      </c>
      <c r="J56" s="83"/>
      <c r="K56" s="65" t="s">
        <v>103</v>
      </c>
      <c r="L56" s="65" t="s">
        <v>103</v>
      </c>
      <c r="M56" s="83"/>
      <c r="N56" s="18" t="s">
        <v>103</v>
      </c>
      <c r="O56" s="123" t="s">
        <v>103</v>
      </c>
      <c r="P56" s="71"/>
    </row>
    <row r="57" spans="1:16" ht="15.75" thickBot="1">
      <c r="A57" s="19" t="s">
        <v>151</v>
      </c>
      <c r="B57" s="18"/>
      <c r="C57" s="18"/>
      <c r="D57" s="18"/>
      <c r="E57" s="18"/>
      <c r="F57" s="65"/>
      <c r="G57" s="87" t="s">
        <v>103</v>
      </c>
      <c r="H57" s="95"/>
      <c r="I57" s="95"/>
      <c r="J57" s="87" t="s">
        <v>103</v>
      </c>
      <c r="K57" s="95"/>
      <c r="L57" s="95"/>
      <c r="M57" s="87" t="s">
        <v>103</v>
      </c>
      <c r="N57" s="118"/>
      <c r="O57" s="128"/>
      <c r="P57" s="71"/>
    </row>
    <row r="59" spans="1:16">
      <c r="B59" s="43"/>
      <c r="C59" s="43"/>
    </row>
    <row r="62" spans="1:16">
      <c r="A62" s="15" t="s">
        <v>152</v>
      </c>
      <c r="B62" s="45" t="s">
        <v>153</v>
      </c>
    </row>
  </sheetData>
  <mergeCells count="8">
    <mergeCell ref="Q14:S15"/>
    <mergeCell ref="Q34:S39"/>
    <mergeCell ref="Q43:S47"/>
    <mergeCell ref="P2:P3"/>
    <mergeCell ref="C2:D2"/>
    <mergeCell ref="G6:H6"/>
    <mergeCell ref="J6:K6"/>
    <mergeCell ref="M6:O6"/>
  </mergeCells>
  <conditionalFormatting sqref="B6:P57">
    <cfRule type="expression" dxfId="0" priority="1">
      <formula>B$4=FALSE</formula>
    </cfRule>
  </conditionalFormatting>
  <dataValidations count="2">
    <dataValidation type="list" allowBlank="1" showInputMessage="1" showErrorMessage="1" sqref="E2" xr:uid="{C50B460D-B598-4703-A144-95860E915DA5}">
      <formula1>"Yes,No"</formula1>
    </dataValidation>
    <dataValidation type="list" allowBlank="1" showInputMessage="1" showErrorMessage="1" sqref="B30:P30" xr:uid="{6F5BE2E2-85D7-454B-A187-3015F3661A11}">
      <formula1>"NONE,READER ONLY,READING AND MODIFICATION"</formula1>
    </dataValidation>
  </dataValidations>
  <hyperlinks>
    <hyperlink ref="B62" r:id="rId1" xr:uid="{03677722-3031-41A4-B0B6-D7EDD8EB2086}"/>
  </hyperlinks>
  <pageMargins left="0.7" right="0.7" top="0.75" bottom="0.75" header="0.3" footer="0.3"/>
  <pageSetup paperSize="9" orientation="portrait"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FD042F3D-47FD-499D-8E4F-965992FBA4FB}">
          <x14:formula1>
            <xm:f>Parameters!$C$2:$C$5</xm:f>
          </x14:formula1>
          <xm:sqref>B13:P13</xm:sqref>
        </x14:dataValidation>
        <x14:dataValidation type="list" allowBlank="1" showInputMessage="1" showErrorMessage="1" xr:uid="{8BC32138-EA1D-404F-9016-0D00BD30AA9D}">
          <x14:formula1>
            <xm:f>Parameters!$A$2:$A$5</xm:f>
          </x14:formula1>
          <xm:sqref>B11:P11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G7"/>
  <sheetViews>
    <sheetView workbookViewId="0">
      <selection activeCell="H6" sqref="H6"/>
    </sheetView>
  </sheetViews>
  <sheetFormatPr baseColWidth="10" defaultColWidth="11.42578125" defaultRowHeight="15"/>
  <cols>
    <col min="1" max="1" width="21.28515625" bestFit="1" customWidth="1"/>
    <col min="2" max="2" width="3" customWidth="1"/>
    <col min="3" max="3" width="19.42578125" bestFit="1" customWidth="1"/>
    <col min="4" max="4" width="2.85546875" customWidth="1"/>
    <col min="5" max="5" width="23.7109375" bestFit="1" customWidth="1"/>
    <col min="6" max="6" width="2.42578125" customWidth="1"/>
  </cols>
  <sheetData>
    <row r="1" spans="1:7">
      <c r="A1" s="2" t="s">
        <v>63</v>
      </c>
      <c r="C1" s="2" t="s">
        <v>154</v>
      </c>
      <c r="E1" s="2" t="s">
        <v>155</v>
      </c>
      <c r="G1" s="2" t="s">
        <v>156</v>
      </c>
    </row>
    <row r="2" spans="1:7">
      <c r="A2" t="s">
        <v>91</v>
      </c>
    </row>
    <row r="3" spans="1:7">
      <c r="A3" t="s">
        <v>157</v>
      </c>
      <c r="C3" t="s">
        <v>158</v>
      </c>
      <c r="E3">
        <v>1</v>
      </c>
      <c r="G3" t="s">
        <v>159</v>
      </c>
    </row>
    <row r="4" spans="1:7">
      <c r="A4" t="s">
        <v>160</v>
      </c>
      <c r="C4" t="s">
        <v>94</v>
      </c>
      <c r="E4">
        <v>2</v>
      </c>
      <c r="G4" t="s">
        <v>161</v>
      </c>
    </row>
    <row r="5" spans="1:7">
      <c r="C5" s="6" t="s">
        <v>162</v>
      </c>
      <c r="E5">
        <v>3</v>
      </c>
      <c r="G5" t="s">
        <v>163</v>
      </c>
    </row>
    <row r="6" spans="1:7">
      <c r="C6" s="6"/>
      <c r="E6">
        <v>4</v>
      </c>
      <c r="G6" t="s">
        <v>164</v>
      </c>
    </row>
    <row r="7" spans="1:7">
      <c r="G7" t="s">
        <v>165</v>
      </c>
    </row>
  </sheetData>
  <pageMargins left="0.7" right="0.7" top="0.75" bottom="0.75" header="0.3" footer="0.3"/>
  <pageSetup paperSize="9"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AE32293237CEE45B08D014D845B32A3" ma:contentTypeVersion="6" ma:contentTypeDescription="Crée un document." ma:contentTypeScope="" ma:versionID="5229ad27e8e19ae5a778050038209013">
  <xsd:schema xmlns:xsd="http://www.w3.org/2001/XMLSchema" xmlns:xs="http://www.w3.org/2001/XMLSchema" xmlns:p="http://schemas.microsoft.com/office/2006/metadata/properties" xmlns:ns2="ad3591c1-c1d4-4636-9c44-360f1220cfa6" targetNamespace="http://schemas.microsoft.com/office/2006/metadata/properties" ma:root="true" ma:fieldsID="cb2ea87a280d0473507e4330ac130306" ns2:_="">
    <xsd:import namespace="ad3591c1-c1d4-4636-9c44-360f1220cf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3591c1-c1d4-4636-9c44-360f1220cf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40E246-B3F7-49EB-96E0-304320AD042B}">
  <ds:schemaRefs>
    <ds:schemaRef ds:uri="http://schemas.microsoft.com/office/2006/documentManagement/types"/>
    <ds:schemaRef ds:uri="http://schemas.microsoft.com/office/infopath/2007/PartnerControls"/>
    <ds:schemaRef ds:uri="021bc73c-54a2-4d00-8671-ebe51408d382"/>
    <ds:schemaRef ds:uri="http://purl.org/dc/elements/1.1/"/>
    <ds:schemaRef ds:uri="http://schemas.microsoft.com/office/2006/metadata/properties"/>
    <ds:schemaRef ds:uri="a16d9e6d-f2fd-4932-b693-62ee8781788b"/>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4AF43F3E-1523-422F-A192-AB111423ACA8}">
  <ds:schemaRefs>
    <ds:schemaRef ds:uri="http://schemas.microsoft.com/sharepoint/v3/contenttype/forms"/>
  </ds:schemaRefs>
</ds:datastoreItem>
</file>

<file path=customXml/itemProps3.xml><?xml version="1.0" encoding="utf-8"?>
<ds:datastoreItem xmlns:ds="http://schemas.openxmlformats.org/officeDocument/2006/customXml" ds:itemID="{ECADF866-B28E-4BE5-A528-DCEA3D0D8B93}"/>
</file>

<file path=docMetadata/LabelInfo.xml><?xml version="1.0" encoding="utf-8"?>
<clbl:labelList xmlns:clbl="http://schemas.microsoft.com/office/2020/mipLabelMetadata">
  <clbl:label id="{2fd53d93-3f4c-4b90-b511-bd6bdbb4fba9}" enabled="1" method="Standard" siteId="{d852d5cd-724c-4128-8812-ffa5db3f850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1</vt:i4>
      </vt:variant>
    </vt:vector>
  </HeadingPairs>
  <TitlesOfParts>
    <vt:vector size="7" baseType="lpstr">
      <vt:lpstr>index</vt:lpstr>
      <vt:lpstr>Guide</vt:lpstr>
      <vt:lpstr>APPLICATION Information</vt:lpstr>
      <vt:lpstr>Matrix of BUSINESS rights</vt:lpstr>
      <vt:lpstr>AWS NG - TECHNICAL rights</vt:lpstr>
      <vt:lpstr>Parameters</vt:lpstr>
      <vt:lpstr>'AWS NG - TECHNICAL rights'!_Toc48208439</vt:lpstr>
    </vt:vector>
  </TitlesOfParts>
  <Manager/>
  <Company>PEUGEOT CITROEN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VALERIE CHASSAING - J565488</dc:creator>
  <cp:lastModifiedBy>DANY SALMAN</cp:lastModifiedBy>
  <dcterms:created xsi:type="dcterms:W3CDTF">2018-04-26T14:28:02Z</dcterms:created>
  <dcterms:modified xsi:type="dcterms:W3CDTF">2026-03-18T15:01:26Z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a_titre">
    <vt:lpwstr>SIBS_M2C_DIR_OPE_DEL_AWS_001-right-matrix-for-ciq-and-CI-CD-and-AWS-Console-NG</vt:lpwstr>
  </property>
  <property fmtid="{D5CDD505-2E9C-101B-9397-08002B2CF9AE}" pid="3" name="psa_reference">
    <vt:lpwstr>20373_22_04503</vt:lpwstr>
  </property>
  <property fmtid="{D5CDD505-2E9C-101B-9397-08002B2CF9AE}" pid="4" name="psa_date_creation">
    <vt:lpwstr>08/07/2022 19:51</vt:lpwstr>
  </property>
  <property fmtid="{D5CDD505-2E9C-101B-9397-08002B2CF9AE}" pid="5" name="psa_date_modification">
    <vt:lpwstr>18/03/2026 16:01</vt:lpwstr>
  </property>
  <property fmtid="{D5CDD505-2E9C-101B-9397-08002B2CF9AE}" pid="6" name="psa_auteur">
    <vt:lpwstr>PIERRE AYMERIC - U206511  </vt:lpwstr>
  </property>
  <property fmtid="{D5CDD505-2E9C-101B-9397-08002B2CF9AE}" pid="7" name="psa_emetteur">
    <vt:lpwstr>PIERRE AYMERIC - U206511  </vt:lpwstr>
  </property>
  <property fmtid="{D5CDD505-2E9C-101B-9397-08002B2CF9AE}" pid="8" name="psa_version">
    <vt:lpwstr>14.6</vt:lpwstr>
  </property>
  <property fmtid="{D5CDD505-2E9C-101B-9397-08002B2CF9AE}" pid="9" name="psa_commentaire">
    <vt:lpwstr/>
  </property>
  <property fmtid="{D5CDD505-2E9C-101B-9397-08002B2CF9AE}" pid="10" name="psa_langue_principale">
    <vt:lpwstr>English</vt:lpwstr>
  </property>
  <property fmtid="{D5CDD505-2E9C-101B-9397-08002B2CF9AE}" pid="11" name="psa_status">
    <vt:lpwstr>brouillon</vt:lpwstr>
  </property>
  <property fmtid="{D5CDD505-2E9C-101B-9397-08002B2CF9AE}" pid="12" name="psa_type_doc">
    <vt:lpwstr/>
  </property>
  <property fmtid="{D5CDD505-2E9C-101B-9397-08002B2CF9AE}" pid="13" name="psa_communaute">
    <vt:lpwstr>FSES Information Systems</vt:lpwstr>
  </property>
  <property fmtid="{D5CDD505-2E9C-101B-9397-08002B2CF9AE}" pid="14" name="psa_niveau_confidentialite">
    <vt:lpwstr>C2 - Internal</vt:lpwstr>
  </property>
  <property fmtid="{D5CDD505-2E9C-101B-9397-08002B2CF9AE}" pid="15" name="psa_url_fiche">
    <vt:lpwstr>https://docinfogroupe.inetpsa.com/ead/doc/ref.20373_22_04503/v.14.6</vt:lpwstr>
  </property>
  <property fmtid="{D5CDD505-2E9C-101B-9397-08002B2CF9AE}" pid="16" name="psa_url_modification">
    <vt:lpwstr>https://docinfogroupe.inetpsa.com/ead/doc/modif/ref.20373_22_04503/fiche</vt:lpwstr>
  </property>
  <property fmtid="{D5CDD505-2E9C-101B-9397-08002B2CF9AE}" pid="17" name="psa_date_publication">
    <vt:lpwstr>10/04/2025 21:15</vt:lpwstr>
  </property>
  <property fmtid="{D5CDD505-2E9C-101B-9397-08002B2CF9AE}" pid="18" name="ContentTypeId">
    <vt:lpwstr>0x0101000AE32293237CEE45B08D014D845B32A3</vt:lpwstr>
  </property>
  <property fmtid="{D5CDD505-2E9C-101B-9397-08002B2CF9AE}" pid="19" name="Order">
    <vt:r8>47100</vt:r8>
  </property>
  <property fmtid="{D5CDD505-2E9C-101B-9397-08002B2CF9AE}" pid="20" name="xd_ProgID">
    <vt:lpwstr/>
  </property>
  <property fmtid="{D5CDD505-2E9C-101B-9397-08002B2CF9AE}" pid="21" name="ComplianceAssetId">
    <vt:lpwstr/>
  </property>
  <property fmtid="{D5CDD505-2E9C-101B-9397-08002B2CF9AE}" pid="22" name="TemplateUrl">
    <vt:lpwstr/>
  </property>
  <property fmtid="{D5CDD505-2E9C-101B-9397-08002B2CF9AE}" pid="23" name="_ExtendedDescription">
    <vt:lpwstr/>
  </property>
  <property fmtid="{D5CDD505-2E9C-101B-9397-08002B2CF9AE}" pid="24" name="TriggerFlowInfo">
    <vt:lpwstr/>
  </property>
  <property fmtid="{D5CDD505-2E9C-101B-9397-08002B2CF9AE}" pid="25" name="xd_Signature">
    <vt:bool>false</vt:bool>
  </property>
  <property fmtid="{D5CDD505-2E9C-101B-9397-08002B2CF9AE}" pid="26" name="MSIP_Label_2fd53d93-3f4c-4b90-b511-bd6bdbb4fba9_Enabled">
    <vt:lpwstr>true</vt:lpwstr>
  </property>
  <property fmtid="{D5CDD505-2E9C-101B-9397-08002B2CF9AE}" pid="27" name="MSIP_Label_2fd53d93-3f4c-4b90-b511-bd6bdbb4fba9_SetDate">
    <vt:lpwstr>2022-01-18T18:16:06Z</vt:lpwstr>
  </property>
  <property fmtid="{D5CDD505-2E9C-101B-9397-08002B2CF9AE}" pid="28" name="MSIP_Label_2fd53d93-3f4c-4b90-b511-bd6bdbb4fba9_Method">
    <vt:lpwstr>Standard</vt:lpwstr>
  </property>
  <property fmtid="{D5CDD505-2E9C-101B-9397-08002B2CF9AE}" pid="29" name="MSIP_Label_2fd53d93-3f4c-4b90-b511-bd6bdbb4fba9_Name">
    <vt:lpwstr>2fd53d93-3f4c-4b90-b511-bd6bdbb4fba9</vt:lpwstr>
  </property>
  <property fmtid="{D5CDD505-2E9C-101B-9397-08002B2CF9AE}" pid="30" name="MSIP_Label_2fd53d93-3f4c-4b90-b511-bd6bdbb4fba9_SiteId">
    <vt:lpwstr>d852d5cd-724c-4128-8812-ffa5db3f8507</vt:lpwstr>
  </property>
  <property fmtid="{D5CDD505-2E9C-101B-9397-08002B2CF9AE}" pid="31" name="MSIP_Label_2fd53d93-3f4c-4b90-b511-bd6bdbb4fba9_ActionId">
    <vt:lpwstr>c5b635cb-4a76-4db3-a121-956f2fc6b279</vt:lpwstr>
  </property>
  <property fmtid="{D5CDD505-2E9C-101B-9397-08002B2CF9AE}" pid="32" name="MSIP_Label_2fd53d93-3f4c-4b90-b511-bd6bdbb4fba9_ContentBits">
    <vt:lpwstr>0</vt:lpwstr>
  </property>
  <property fmtid="{D5CDD505-2E9C-101B-9397-08002B2CF9AE}" pid="33" name="MediaServiceImageTags">
    <vt:lpwstr/>
  </property>
</Properties>
</file>